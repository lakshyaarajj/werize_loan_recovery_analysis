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laksh\Downloads\"/>
    </mc:Choice>
  </mc:AlternateContent>
  <xr:revisionPtr revIDLastSave="0" documentId="13_ncr:1_{CA2E7648-B339-4CD5-AD15-C423AF3542D7}" xr6:coauthVersionLast="47" xr6:coauthVersionMax="47" xr10:uidLastSave="{00000000-0000-0000-0000-000000000000}"/>
  <bookViews>
    <workbookView xWindow="-108" yWindow="-108" windowWidth="23256" windowHeight="12456" activeTab="2" xr2:uid="{4BF4EC1E-43DA-4A03-B82A-C251E719D810}"/>
  </bookViews>
  <sheets>
    <sheet name="WeRize_Assignme" sheetId="2" r:id="rId1"/>
    <sheet name="partA" sheetId="4" r:id="rId2"/>
    <sheet name="partB" sheetId="5" r:id="rId3"/>
    <sheet name="partC" sheetId="6" r:id="rId4"/>
    <sheet name="partD + summary" sheetId="7" r:id="rId5"/>
    <sheet name="response_text" sheetId="9" r:id="rId6"/>
  </sheets>
  <definedNames>
    <definedName name="ExternalData_1" localSheetId="0" hidden="1">WeRize_Assignme!$A$1:$K$501</definedName>
  </definedNames>
  <calcPr calcId="191029"/>
  <pivotCaches>
    <pivotCache cacheId="0" r:id="rId7"/>
    <pivotCache cacheId="1" r:id="rId8"/>
    <pivotCache cacheId="2" r:id="rId9"/>
    <pivotCache cacheId="3" r:id="rId10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" i="2" l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2" i="2"/>
  <c r="L2" i="2"/>
  <c r="B8" i="7" s="1"/>
  <c r="B9" i="7"/>
  <c r="B7" i="7"/>
  <c r="B6" i="7"/>
  <c r="B5" i="7"/>
  <c r="B4" i="7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V18" i="2"/>
  <c r="V17" i="2"/>
  <c r="V16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2" i="2"/>
  <c r="E2" i="5"/>
  <c r="E3" i="5"/>
  <c r="E4" i="5"/>
  <c r="E5" i="5"/>
  <c r="E6" i="5"/>
  <c r="G14" i="4"/>
  <c r="G16" i="4"/>
  <c r="G15" i="4"/>
  <c r="G13" i="4"/>
  <c r="V9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V11" i="2"/>
  <c r="V10" i="2"/>
  <c r="V8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2" i="2"/>
  <c r="G17" i="4" l="1"/>
  <c r="V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C6A18D1-8C3D-4D0C-B3D4-4440C0F36F8E}" keepAlive="1" name="Query - WeRize_Product_Analyst_Assignment_Data" description="Connection to the 'WeRize_Product_Analyst_Assignment_Data' query in the workbook." type="5" refreshedVersion="8" background="1" saveData="1">
    <dbPr connection="Provider=Microsoft.Mashup.OleDb.1;Data Source=$Workbook$;Location=WeRize_Product_Analyst_Assignment_Data;Extended Properties=&quot;&quot;" command="SELECT * FROM [WeRize_Product_Analyst_Assignment_Data]"/>
  </connection>
</connections>
</file>

<file path=xl/sharedStrings.xml><?xml version="1.0" encoding="utf-8"?>
<sst xmlns="http://schemas.openxmlformats.org/spreadsheetml/2006/main" count="2760" uniqueCount="605">
  <si>
    <t>customer_id</t>
  </si>
  <si>
    <t>city_tier</t>
  </si>
  <si>
    <t>income_bracket</t>
  </si>
  <si>
    <t>loan_amount</t>
  </si>
  <si>
    <t>emi_amount</t>
  </si>
  <si>
    <t>due_date</t>
  </si>
  <si>
    <t>paid_date</t>
  </si>
  <si>
    <t>days_past_due</t>
  </si>
  <si>
    <t>channel_used</t>
  </si>
  <si>
    <t>previous_delinquency</t>
  </si>
  <si>
    <t>response_text</t>
  </si>
  <si>
    <t>CUST_0001</t>
  </si>
  <si>
    <t>Medium</t>
  </si>
  <si>
    <t>Agent</t>
  </si>
  <si>
    <t>Yes</t>
  </si>
  <si>
    <t>Need settlement offer</t>
  </si>
  <si>
    <t>CUST_0002</t>
  </si>
  <si>
    <t>AI_Call</t>
  </si>
  <si>
    <t>Dispute on EMI amount</t>
  </si>
  <si>
    <t>CUST_0003</t>
  </si>
  <si>
    <t>Low</t>
  </si>
  <si>
    <t>IVR</t>
  </si>
  <si>
    <t>No</t>
  </si>
  <si>
    <t>Will pay tomorrow</t>
  </si>
  <si>
    <t>CUST_0004</t>
  </si>
  <si>
    <t>CUST_0005</t>
  </si>
  <si>
    <t>Paid already</t>
  </si>
  <si>
    <t>CUST_0006</t>
  </si>
  <si>
    <t>WhatsApp</t>
  </si>
  <si>
    <t>CUST_0007</t>
  </si>
  <si>
    <t>High</t>
  </si>
  <si>
    <t>CUST_0008</t>
  </si>
  <si>
    <t>Lost my job, need more time</t>
  </si>
  <si>
    <t>CUST_0009</t>
  </si>
  <si>
    <t>No response</t>
  </si>
  <si>
    <t>CUST_0010</t>
  </si>
  <si>
    <t>CUST_0011</t>
  </si>
  <si>
    <t>CUST_0012</t>
  </si>
  <si>
    <t>CUST_0013</t>
  </si>
  <si>
    <t>CUST_0014</t>
  </si>
  <si>
    <t>CUST_0015</t>
  </si>
  <si>
    <t>CUST_0016</t>
  </si>
  <si>
    <t>CUST_0017</t>
  </si>
  <si>
    <t>CUST_0018</t>
  </si>
  <si>
    <t>Will pay next week</t>
  </si>
  <si>
    <t>CUST_0019</t>
  </si>
  <si>
    <t>CUST_0020</t>
  </si>
  <si>
    <t>CUST_0021</t>
  </si>
  <si>
    <t>CUST_0022</t>
  </si>
  <si>
    <t>CUST_0023</t>
  </si>
  <si>
    <t>CUST_0024</t>
  </si>
  <si>
    <t>CUST_0025</t>
  </si>
  <si>
    <t>CUST_0026</t>
  </si>
  <si>
    <t>CUST_0027</t>
  </si>
  <si>
    <t>Will clear dues soon</t>
  </si>
  <si>
    <t>CUST_0028</t>
  </si>
  <si>
    <t>Cannot pay right now</t>
  </si>
  <si>
    <t>CUST_0029</t>
  </si>
  <si>
    <t>CUST_0030</t>
  </si>
  <si>
    <t>CUST_0031</t>
  </si>
  <si>
    <t>CUST_0032</t>
  </si>
  <si>
    <t>CUST_0033</t>
  </si>
  <si>
    <t>CUST_0034</t>
  </si>
  <si>
    <t>CUST_0035</t>
  </si>
  <si>
    <t>CUST_0036</t>
  </si>
  <si>
    <t>CUST_0037</t>
  </si>
  <si>
    <t>CUST_0038</t>
  </si>
  <si>
    <t>CUST_0039</t>
  </si>
  <si>
    <t>CUST_0040</t>
  </si>
  <si>
    <t>CUST_0041</t>
  </si>
  <si>
    <t>Please stop calling</t>
  </si>
  <si>
    <t>CUST_0042</t>
  </si>
  <si>
    <t>CUST_0043</t>
  </si>
  <si>
    <t>CUST_0044</t>
  </si>
  <si>
    <t>CUST_0045</t>
  </si>
  <si>
    <t>CUST_0046</t>
  </si>
  <si>
    <t>CUST_0047</t>
  </si>
  <si>
    <t>CUST_0048</t>
  </si>
  <si>
    <t>CUST_0049</t>
  </si>
  <si>
    <t>CUST_0050</t>
  </si>
  <si>
    <t>CUST_0051</t>
  </si>
  <si>
    <t>CUST_0052</t>
  </si>
  <si>
    <t>CUST_0053</t>
  </si>
  <si>
    <t>CUST_0054</t>
  </si>
  <si>
    <t>CUST_0055</t>
  </si>
  <si>
    <t>CUST_0056</t>
  </si>
  <si>
    <t>CUST_0057</t>
  </si>
  <si>
    <t>CUST_0058</t>
  </si>
  <si>
    <t>CUST_0059</t>
  </si>
  <si>
    <t>CUST_0060</t>
  </si>
  <si>
    <t>CUST_0061</t>
  </si>
  <si>
    <t>CUST_0062</t>
  </si>
  <si>
    <t>CUST_0063</t>
  </si>
  <si>
    <t>CUST_0064</t>
  </si>
  <si>
    <t>CUST_0065</t>
  </si>
  <si>
    <t>CUST_0066</t>
  </si>
  <si>
    <t>CUST_0067</t>
  </si>
  <si>
    <t>CUST_0068</t>
  </si>
  <si>
    <t>CUST_0069</t>
  </si>
  <si>
    <t>CUST_0070</t>
  </si>
  <si>
    <t>CUST_0071</t>
  </si>
  <si>
    <t>CUST_0072</t>
  </si>
  <si>
    <t>CUST_0073</t>
  </si>
  <si>
    <t>CUST_0074</t>
  </si>
  <si>
    <t>CUST_0075</t>
  </si>
  <si>
    <t>CUST_0076</t>
  </si>
  <si>
    <t>CUST_0077</t>
  </si>
  <si>
    <t>CUST_0078</t>
  </si>
  <si>
    <t>CUST_0079</t>
  </si>
  <si>
    <t>CUST_0080</t>
  </si>
  <si>
    <t>CUST_0081</t>
  </si>
  <si>
    <t>CUST_0082</t>
  </si>
  <si>
    <t>CUST_0083</t>
  </si>
  <si>
    <t>CUST_0084</t>
  </si>
  <si>
    <t>CUST_0085</t>
  </si>
  <si>
    <t>CUST_0086</t>
  </si>
  <si>
    <t>CUST_0087</t>
  </si>
  <si>
    <t>CUST_0088</t>
  </si>
  <si>
    <t>CUST_0089</t>
  </si>
  <si>
    <t>CUST_0090</t>
  </si>
  <si>
    <t>CUST_0091</t>
  </si>
  <si>
    <t>CUST_0092</t>
  </si>
  <si>
    <t>CUST_0093</t>
  </si>
  <si>
    <t>CUST_0094</t>
  </si>
  <si>
    <t>CUST_0095</t>
  </si>
  <si>
    <t>CUST_0096</t>
  </si>
  <si>
    <t>CUST_0097</t>
  </si>
  <si>
    <t>CUST_0098</t>
  </si>
  <si>
    <t>CUST_0099</t>
  </si>
  <si>
    <t>CUST_0100</t>
  </si>
  <si>
    <t>CUST_0101</t>
  </si>
  <si>
    <t>CUST_0102</t>
  </si>
  <si>
    <t>CUST_0103</t>
  </si>
  <si>
    <t>CUST_0104</t>
  </si>
  <si>
    <t>CUST_0105</t>
  </si>
  <si>
    <t>CUST_0106</t>
  </si>
  <si>
    <t>CUST_0107</t>
  </si>
  <si>
    <t>CUST_0108</t>
  </si>
  <si>
    <t>CUST_0109</t>
  </si>
  <si>
    <t>CUST_0110</t>
  </si>
  <si>
    <t>CUST_0111</t>
  </si>
  <si>
    <t>CUST_0112</t>
  </si>
  <si>
    <t>CUST_0113</t>
  </si>
  <si>
    <t>CUST_0114</t>
  </si>
  <si>
    <t>CUST_0115</t>
  </si>
  <si>
    <t>CUST_0116</t>
  </si>
  <si>
    <t>CUST_0117</t>
  </si>
  <si>
    <t>CUST_0118</t>
  </si>
  <si>
    <t>CUST_0119</t>
  </si>
  <si>
    <t>CUST_0120</t>
  </si>
  <si>
    <t>CUST_0121</t>
  </si>
  <si>
    <t>CUST_0122</t>
  </si>
  <si>
    <t>CUST_0123</t>
  </si>
  <si>
    <t>CUST_0124</t>
  </si>
  <si>
    <t>CUST_0125</t>
  </si>
  <si>
    <t>CUST_0126</t>
  </si>
  <si>
    <t>CUST_0127</t>
  </si>
  <si>
    <t>CUST_0128</t>
  </si>
  <si>
    <t>CUST_0129</t>
  </si>
  <si>
    <t>CUST_0130</t>
  </si>
  <si>
    <t>CUST_0131</t>
  </si>
  <si>
    <t>CUST_0132</t>
  </si>
  <si>
    <t>CUST_0133</t>
  </si>
  <si>
    <t>CUST_0134</t>
  </si>
  <si>
    <t>CUST_0135</t>
  </si>
  <si>
    <t>CUST_0136</t>
  </si>
  <si>
    <t>CUST_0137</t>
  </si>
  <si>
    <t>CUST_0138</t>
  </si>
  <si>
    <t>CUST_0139</t>
  </si>
  <si>
    <t>CUST_0140</t>
  </si>
  <si>
    <t>CUST_0141</t>
  </si>
  <si>
    <t>CUST_0142</t>
  </si>
  <si>
    <t>CUST_0143</t>
  </si>
  <si>
    <t>CUST_0144</t>
  </si>
  <si>
    <t>CUST_0145</t>
  </si>
  <si>
    <t>CUST_0146</t>
  </si>
  <si>
    <t>CUST_0147</t>
  </si>
  <si>
    <t>CUST_0148</t>
  </si>
  <si>
    <t>CUST_0149</t>
  </si>
  <si>
    <t>CUST_0150</t>
  </si>
  <si>
    <t>CUST_0151</t>
  </si>
  <si>
    <t>CUST_0152</t>
  </si>
  <si>
    <t>CUST_0153</t>
  </si>
  <si>
    <t>CUST_0154</t>
  </si>
  <si>
    <t>CUST_0155</t>
  </si>
  <si>
    <t>CUST_0156</t>
  </si>
  <si>
    <t>CUST_0157</t>
  </si>
  <si>
    <t>CUST_0158</t>
  </si>
  <si>
    <t>CUST_0159</t>
  </si>
  <si>
    <t>CUST_0160</t>
  </si>
  <si>
    <t>CUST_0161</t>
  </si>
  <si>
    <t>CUST_0162</t>
  </si>
  <si>
    <t>CUST_0163</t>
  </si>
  <si>
    <t>CUST_0164</t>
  </si>
  <si>
    <t>CUST_0165</t>
  </si>
  <si>
    <t>CUST_0166</t>
  </si>
  <si>
    <t>CUST_0167</t>
  </si>
  <si>
    <t>CUST_0168</t>
  </si>
  <si>
    <t>CUST_0169</t>
  </si>
  <si>
    <t>CUST_0170</t>
  </si>
  <si>
    <t>CUST_0171</t>
  </si>
  <si>
    <t>CUST_0172</t>
  </si>
  <si>
    <t>CUST_0173</t>
  </si>
  <si>
    <t>CUST_0174</t>
  </si>
  <si>
    <t>CUST_0175</t>
  </si>
  <si>
    <t>CUST_0176</t>
  </si>
  <si>
    <t>CUST_0177</t>
  </si>
  <si>
    <t>CUST_0178</t>
  </si>
  <si>
    <t>CUST_0179</t>
  </si>
  <si>
    <t>CUST_0180</t>
  </si>
  <si>
    <t>CUST_0181</t>
  </si>
  <si>
    <t>CUST_0182</t>
  </si>
  <si>
    <t>CUST_0183</t>
  </si>
  <si>
    <t>CUST_0184</t>
  </si>
  <si>
    <t>CUST_0185</t>
  </si>
  <si>
    <t>CUST_0186</t>
  </si>
  <si>
    <t>CUST_0187</t>
  </si>
  <si>
    <t>CUST_0188</t>
  </si>
  <si>
    <t>CUST_0189</t>
  </si>
  <si>
    <t>CUST_0190</t>
  </si>
  <si>
    <t>CUST_0191</t>
  </si>
  <si>
    <t>CUST_0192</t>
  </si>
  <si>
    <t>CUST_0193</t>
  </si>
  <si>
    <t>CUST_0194</t>
  </si>
  <si>
    <t>CUST_0195</t>
  </si>
  <si>
    <t>CUST_0196</t>
  </si>
  <si>
    <t>CUST_0197</t>
  </si>
  <si>
    <t>CUST_0198</t>
  </si>
  <si>
    <t>CUST_0199</t>
  </si>
  <si>
    <t>CUST_0200</t>
  </si>
  <si>
    <t>CUST_0201</t>
  </si>
  <si>
    <t>CUST_0202</t>
  </si>
  <si>
    <t>CUST_0203</t>
  </si>
  <si>
    <t>CUST_0204</t>
  </si>
  <si>
    <t>CUST_0205</t>
  </si>
  <si>
    <t>CUST_0206</t>
  </si>
  <si>
    <t>CUST_0207</t>
  </si>
  <si>
    <t>CUST_0208</t>
  </si>
  <si>
    <t>CUST_0209</t>
  </si>
  <si>
    <t>CUST_0210</t>
  </si>
  <si>
    <t>CUST_0211</t>
  </si>
  <si>
    <t>CUST_0212</t>
  </si>
  <si>
    <t>CUST_0213</t>
  </si>
  <si>
    <t>CUST_0214</t>
  </si>
  <si>
    <t>CUST_0215</t>
  </si>
  <si>
    <t>CUST_0216</t>
  </si>
  <si>
    <t>CUST_0217</t>
  </si>
  <si>
    <t>CUST_0218</t>
  </si>
  <si>
    <t>CUST_0219</t>
  </si>
  <si>
    <t>CUST_0220</t>
  </si>
  <si>
    <t>CUST_0221</t>
  </si>
  <si>
    <t>CUST_0222</t>
  </si>
  <si>
    <t>CUST_0223</t>
  </si>
  <si>
    <t>CUST_0224</t>
  </si>
  <si>
    <t>CUST_0225</t>
  </si>
  <si>
    <t>CUST_0226</t>
  </si>
  <si>
    <t>CUST_0227</t>
  </si>
  <si>
    <t>CUST_0228</t>
  </si>
  <si>
    <t>CUST_0229</t>
  </si>
  <si>
    <t>CUST_0230</t>
  </si>
  <si>
    <t>CUST_0231</t>
  </si>
  <si>
    <t>CUST_0232</t>
  </si>
  <si>
    <t>CUST_0233</t>
  </si>
  <si>
    <t>CUST_0234</t>
  </si>
  <si>
    <t>CUST_0235</t>
  </si>
  <si>
    <t>CUST_0236</t>
  </si>
  <si>
    <t>CUST_0237</t>
  </si>
  <si>
    <t>CUST_0238</t>
  </si>
  <si>
    <t>CUST_0239</t>
  </si>
  <si>
    <t>CUST_0240</t>
  </si>
  <si>
    <t>CUST_0241</t>
  </si>
  <si>
    <t>CUST_0242</t>
  </si>
  <si>
    <t>CUST_0243</t>
  </si>
  <si>
    <t>CUST_0244</t>
  </si>
  <si>
    <t>CUST_0245</t>
  </si>
  <si>
    <t>CUST_0246</t>
  </si>
  <si>
    <t>CUST_0247</t>
  </si>
  <si>
    <t>CUST_0248</t>
  </si>
  <si>
    <t>CUST_0249</t>
  </si>
  <si>
    <t>CUST_0250</t>
  </si>
  <si>
    <t>CUST_0251</t>
  </si>
  <si>
    <t>CUST_0252</t>
  </si>
  <si>
    <t>CUST_0253</t>
  </si>
  <si>
    <t>CUST_0254</t>
  </si>
  <si>
    <t>CUST_0255</t>
  </si>
  <si>
    <t>CUST_0256</t>
  </si>
  <si>
    <t>CUST_0257</t>
  </si>
  <si>
    <t>CUST_0258</t>
  </si>
  <si>
    <t>CUST_0259</t>
  </si>
  <si>
    <t>CUST_0260</t>
  </si>
  <si>
    <t>CUST_0261</t>
  </si>
  <si>
    <t>CUST_0262</t>
  </si>
  <si>
    <t>CUST_0263</t>
  </si>
  <si>
    <t>CUST_0264</t>
  </si>
  <si>
    <t>CUST_0265</t>
  </si>
  <si>
    <t>CUST_0266</t>
  </si>
  <si>
    <t>CUST_0267</t>
  </si>
  <si>
    <t>CUST_0268</t>
  </si>
  <si>
    <t>CUST_0269</t>
  </si>
  <si>
    <t>CUST_0270</t>
  </si>
  <si>
    <t>CUST_0271</t>
  </si>
  <si>
    <t>CUST_0272</t>
  </si>
  <si>
    <t>CUST_0273</t>
  </si>
  <si>
    <t>CUST_0274</t>
  </si>
  <si>
    <t>CUST_0275</t>
  </si>
  <si>
    <t>CUST_0276</t>
  </si>
  <si>
    <t>CUST_0277</t>
  </si>
  <si>
    <t>CUST_0278</t>
  </si>
  <si>
    <t>CUST_0279</t>
  </si>
  <si>
    <t>CUST_0280</t>
  </si>
  <si>
    <t>CUST_0281</t>
  </si>
  <si>
    <t>CUST_0282</t>
  </si>
  <si>
    <t>CUST_0283</t>
  </si>
  <si>
    <t>CUST_0284</t>
  </si>
  <si>
    <t>CUST_0285</t>
  </si>
  <si>
    <t>CUST_0286</t>
  </si>
  <si>
    <t>CUST_0287</t>
  </si>
  <si>
    <t>CUST_0288</t>
  </si>
  <si>
    <t>CUST_0289</t>
  </si>
  <si>
    <t>CUST_0290</t>
  </si>
  <si>
    <t>CUST_0291</t>
  </si>
  <si>
    <t>CUST_0292</t>
  </si>
  <si>
    <t>CUST_0293</t>
  </si>
  <si>
    <t>CUST_0294</t>
  </si>
  <si>
    <t>CUST_0295</t>
  </si>
  <si>
    <t>CUST_0296</t>
  </si>
  <si>
    <t>CUST_0297</t>
  </si>
  <si>
    <t>CUST_0298</t>
  </si>
  <si>
    <t>CUST_0299</t>
  </si>
  <si>
    <t>CUST_0300</t>
  </si>
  <si>
    <t>CUST_0301</t>
  </si>
  <si>
    <t>CUST_0302</t>
  </si>
  <si>
    <t>CUST_0303</t>
  </si>
  <si>
    <t>CUST_0304</t>
  </si>
  <si>
    <t>CUST_0305</t>
  </si>
  <si>
    <t>CUST_0306</t>
  </si>
  <si>
    <t>CUST_0307</t>
  </si>
  <si>
    <t>CUST_0308</t>
  </si>
  <si>
    <t>CUST_0309</t>
  </si>
  <si>
    <t>CUST_0310</t>
  </si>
  <si>
    <t>CUST_0311</t>
  </si>
  <si>
    <t>CUST_0312</t>
  </si>
  <si>
    <t>CUST_0313</t>
  </si>
  <si>
    <t>CUST_0314</t>
  </si>
  <si>
    <t>CUST_0315</t>
  </si>
  <si>
    <t>CUST_0316</t>
  </si>
  <si>
    <t>CUST_0317</t>
  </si>
  <si>
    <t>CUST_0318</t>
  </si>
  <si>
    <t>CUST_0319</t>
  </si>
  <si>
    <t>CUST_0320</t>
  </si>
  <si>
    <t>CUST_0321</t>
  </si>
  <si>
    <t>CUST_0322</t>
  </si>
  <si>
    <t>CUST_0323</t>
  </si>
  <si>
    <t>CUST_0324</t>
  </si>
  <si>
    <t>CUST_0325</t>
  </si>
  <si>
    <t>CUST_0326</t>
  </si>
  <si>
    <t>CUST_0327</t>
  </si>
  <si>
    <t>CUST_0328</t>
  </si>
  <si>
    <t>CUST_0329</t>
  </si>
  <si>
    <t>CUST_0330</t>
  </si>
  <si>
    <t>CUST_0331</t>
  </si>
  <si>
    <t>CUST_0332</t>
  </si>
  <si>
    <t>CUST_0333</t>
  </si>
  <si>
    <t>CUST_0334</t>
  </si>
  <si>
    <t>CUST_0335</t>
  </si>
  <si>
    <t>CUST_0336</t>
  </si>
  <si>
    <t>CUST_0337</t>
  </si>
  <si>
    <t>CUST_0338</t>
  </si>
  <si>
    <t>CUST_0339</t>
  </si>
  <si>
    <t>CUST_0340</t>
  </si>
  <si>
    <t>CUST_0341</t>
  </si>
  <si>
    <t>CUST_0342</t>
  </si>
  <si>
    <t>CUST_0343</t>
  </si>
  <si>
    <t>CUST_0344</t>
  </si>
  <si>
    <t>CUST_0345</t>
  </si>
  <si>
    <t>CUST_0346</t>
  </si>
  <si>
    <t>CUST_0347</t>
  </si>
  <si>
    <t>CUST_0348</t>
  </si>
  <si>
    <t>CUST_0349</t>
  </si>
  <si>
    <t>CUST_0350</t>
  </si>
  <si>
    <t>CUST_0351</t>
  </si>
  <si>
    <t>CUST_0352</t>
  </si>
  <si>
    <t>CUST_0353</t>
  </si>
  <si>
    <t>CUST_0354</t>
  </si>
  <si>
    <t>CUST_0355</t>
  </si>
  <si>
    <t>CUST_0356</t>
  </si>
  <si>
    <t>CUST_0357</t>
  </si>
  <si>
    <t>CUST_0358</t>
  </si>
  <si>
    <t>CUST_0359</t>
  </si>
  <si>
    <t>CUST_0360</t>
  </si>
  <si>
    <t>CUST_0361</t>
  </si>
  <si>
    <t>CUST_0362</t>
  </si>
  <si>
    <t>CUST_0363</t>
  </si>
  <si>
    <t>CUST_0364</t>
  </si>
  <si>
    <t>CUST_0365</t>
  </si>
  <si>
    <t>CUST_0366</t>
  </si>
  <si>
    <t>CUST_0367</t>
  </si>
  <si>
    <t>CUST_0368</t>
  </si>
  <si>
    <t>CUST_0369</t>
  </si>
  <si>
    <t>CUST_0370</t>
  </si>
  <si>
    <t>CUST_0371</t>
  </si>
  <si>
    <t>CUST_0372</t>
  </si>
  <si>
    <t>CUST_0373</t>
  </si>
  <si>
    <t>CUST_0374</t>
  </si>
  <si>
    <t>CUST_0375</t>
  </si>
  <si>
    <t>CUST_0376</t>
  </si>
  <si>
    <t>CUST_0377</t>
  </si>
  <si>
    <t>CUST_0378</t>
  </si>
  <si>
    <t>CUST_0379</t>
  </si>
  <si>
    <t>CUST_0380</t>
  </si>
  <si>
    <t>CUST_0381</t>
  </si>
  <si>
    <t>CUST_0382</t>
  </si>
  <si>
    <t>CUST_0383</t>
  </si>
  <si>
    <t>CUST_0384</t>
  </si>
  <si>
    <t>CUST_0385</t>
  </si>
  <si>
    <t>CUST_0386</t>
  </si>
  <si>
    <t>CUST_0387</t>
  </si>
  <si>
    <t>CUST_0388</t>
  </si>
  <si>
    <t>CUST_0389</t>
  </si>
  <si>
    <t>CUST_0390</t>
  </si>
  <si>
    <t>CUST_0391</t>
  </si>
  <si>
    <t>CUST_0392</t>
  </si>
  <si>
    <t>CUST_0393</t>
  </si>
  <si>
    <t>CUST_0394</t>
  </si>
  <si>
    <t>CUST_0395</t>
  </si>
  <si>
    <t>CUST_0396</t>
  </si>
  <si>
    <t>CUST_0397</t>
  </si>
  <si>
    <t>CUST_0398</t>
  </si>
  <si>
    <t>CUST_0399</t>
  </si>
  <si>
    <t>CUST_0400</t>
  </si>
  <si>
    <t>CUST_0401</t>
  </si>
  <si>
    <t>CUST_0402</t>
  </si>
  <si>
    <t>CUST_0403</t>
  </si>
  <si>
    <t>CUST_0404</t>
  </si>
  <si>
    <t>CUST_0405</t>
  </si>
  <si>
    <t>CUST_0406</t>
  </si>
  <si>
    <t>CUST_0407</t>
  </si>
  <si>
    <t>CUST_0408</t>
  </si>
  <si>
    <t>CUST_0409</t>
  </si>
  <si>
    <t>CUST_0410</t>
  </si>
  <si>
    <t>CUST_0411</t>
  </si>
  <si>
    <t>CUST_0412</t>
  </si>
  <si>
    <t>CUST_0413</t>
  </si>
  <si>
    <t>CUST_0414</t>
  </si>
  <si>
    <t>CUST_0415</t>
  </si>
  <si>
    <t>CUST_0416</t>
  </si>
  <si>
    <t>CUST_0417</t>
  </si>
  <si>
    <t>CUST_0418</t>
  </si>
  <si>
    <t>CUST_0419</t>
  </si>
  <si>
    <t>CUST_0420</t>
  </si>
  <si>
    <t>CUST_0421</t>
  </si>
  <si>
    <t>CUST_0422</t>
  </si>
  <si>
    <t>CUST_0423</t>
  </si>
  <si>
    <t>CUST_0424</t>
  </si>
  <si>
    <t>CUST_0425</t>
  </si>
  <si>
    <t>CUST_0426</t>
  </si>
  <si>
    <t>CUST_0427</t>
  </si>
  <si>
    <t>CUST_0428</t>
  </si>
  <si>
    <t>CUST_0429</t>
  </si>
  <si>
    <t>CUST_0430</t>
  </si>
  <si>
    <t>CUST_0431</t>
  </si>
  <si>
    <t>CUST_0432</t>
  </si>
  <si>
    <t>CUST_0433</t>
  </si>
  <si>
    <t>CUST_0434</t>
  </si>
  <si>
    <t>CUST_0435</t>
  </si>
  <si>
    <t>CUST_0436</t>
  </si>
  <si>
    <t>CUST_0437</t>
  </si>
  <si>
    <t>CUST_0438</t>
  </si>
  <si>
    <t>CUST_0439</t>
  </si>
  <si>
    <t>CUST_0440</t>
  </si>
  <si>
    <t>CUST_0441</t>
  </si>
  <si>
    <t>CUST_0442</t>
  </si>
  <si>
    <t>CUST_0443</t>
  </si>
  <si>
    <t>CUST_0444</t>
  </si>
  <si>
    <t>CUST_0445</t>
  </si>
  <si>
    <t>CUST_0446</t>
  </si>
  <si>
    <t>CUST_0447</t>
  </si>
  <si>
    <t>CUST_0448</t>
  </si>
  <si>
    <t>CUST_0449</t>
  </si>
  <si>
    <t>CUST_0450</t>
  </si>
  <si>
    <t>CUST_0451</t>
  </si>
  <si>
    <t>CUST_0452</t>
  </si>
  <si>
    <t>CUST_0453</t>
  </si>
  <si>
    <t>CUST_0454</t>
  </si>
  <si>
    <t>CUST_0455</t>
  </si>
  <si>
    <t>CUST_0456</t>
  </si>
  <si>
    <t>CUST_0457</t>
  </si>
  <si>
    <t>CUST_0458</t>
  </si>
  <si>
    <t>CUST_0459</t>
  </si>
  <si>
    <t>CUST_0460</t>
  </si>
  <si>
    <t>CUST_0461</t>
  </si>
  <si>
    <t>CUST_0462</t>
  </si>
  <si>
    <t>CUST_0463</t>
  </si>
  <si>
    <t>CUST_0464</t>
  </si>
  <si>
    <t>CUST_0465</t>
  </si>
  <si>
    <t>CUST_0466</t>
  </si>
  <si>
    <t>CUST_0467</t>
  </si>
  <si>
    <t>CUST_0468</t>
  </si>
  <si>
    <t>CUST_0469</t>
  </si>
  <si>
    <t>CUST_0470</t>
  </si>
  <si>
    <t>CUST_0471</t>
  </si>
  <si>
    <t>CUST_0472</t>
  </si>
  <si>
    <t>CUST_0473</t>
  </si>
  <si>
    <t>CUST_0474</t>
  </si>
  <si>
    <t>CUST_0475</t>
  </si>
  <si>
    <t>CUST_0476</t>
  </si>
  <si>
    <t>CUST_0477</t>
  </si>
  <si>
    <t>CUST_0478</t>
  </si>
  <si>
    <t>CUST_0479</t>
  </si>
  <si>
    <t>CUST_0480</t>
  </si>
  <si>
    <t>CUST_0481</t>
  </si>
  <si>
    <t>CUST_0482</t>
  </si>
  <si>
    <t>CUST_0483</t>
  </si>
  <si>
    <t>CUST_0484</t>
  </si>
  <si>
    <t>CUST_0485</t>
  </si>
  <si>
    <t>CUST_0486</t>
  </si>
  <si>
    <t>CUST_0487</t>
  </si>
  <si>
    <t>CUST_0488</t>
  </si>
  <si>
    <t>CUST_0489</t>
  </si>
  <si>
    <t>CUST_0490</t>
  </si>
  <si>
    <t>CUST_0491</t>
  </si>
  <si>
    <t>CUST_0492</t>
  </si>
  <si>
    <t>CUST_0493</t>
  </si>
  <si>
    <t>CUST_0494</t>
  </si>
  <si>
    <t>CUST_0495</t>
  </si>
  <si>
    <t>CUST_0496</t>
  </si>
  <si>
    <t>CUST_0497</t>
  </si>
  <si>
    <t>CUST_0498</t>
  </si>
  <si>
    <t>CUST_0499</t>
  </si>
  <si>
    <t>CUST_0500</t>
  </si>
  <si>
    <t>Is_Delayed</t>
  </si>
  <si>
    <t>Delay_Status</t>
  </si>
  <si>
    <t>Overall KPIs</t>
  </si>
  <si>
    <t>Total Customers</t>
  </si>
  <si>
    <t>Avg Loan Amount</t>
  </si>
  <si>
    <t>Avg EMI Amount</t>
  </si>
  <si>
    <t>Avg Days Past Due</t>
  </si>
  <si>
    <t>% Delayed Customers</t>
  </si>
  <si>
    <t>Grand Total</t>
  </si>
  <si>
    <t>Average of days_past_due</t>
  </si>
  <si>
    <t>City Tier</t>
  </si>
  <si>
    <t>Income Bracket</t>
  </si>
  <si>
    <t>Previous Delinquency</t>
  </si>
  <si>
    <t>Total Average of days_past_due</t>
  </si>
  <si>
    <t>Total % of People Delay</t>
  </si>
  <si>
    <t>% of People Delay</t>
  </si>
  <si>
    <t>% People Delay</t>
  </si>
  <si>
    <t>Channel Categories</t>
  </si>
  <si>
    <t>Avg Delay</t>
  </si>
  <si>
    <t>% of People Delayed</t>
  </si>
  <si>
    <t>Customer count/channel</t>
  </si>
  <si>
    <t>Channels</t>
  </si>
  <si>
    <t>% of People On-Time</t>
  </si>
  <si>
    <t>Risk_Category</t>
  </si>
  <si>
    <t>prev_delinquency</t>
  </si>
  <si>
    <t>Risk Category</t>
  </si>
  <si>
    <t>Average EMI</t>
  </si>
  <si>
    <t>Average Loan</t>
  </si>
  <si>
    <t>Customers</t>
  </si>
  <si>
    <t>Previous Deliquency</t>
  </si>
  <si>
    <t xml:space="preserve">Loan Amount </t>
  </si>
  <si>
    <t>DELAY DRIVERS Parameters we take:</t>
  </si>
  <si>
    <t>% Delayed</t>
  </si>
  <si>
    <t>% Previously Delinquent</t>
  </si>
  <si>
    <t>Previous Deliquent</t>
  </si>
  <si>
    <t>Low Loan Percentile</t>
  </si>
  <si>
    <t>Median Loan Percentile</t>
  </si>
  <si>
    <t>High Loan Percentile</t>
  </si>
  <si>
    <t>Loan Bucket</t>
  </si>
  <si>
    <t>Loan_Bucket</t>
  </si>
  <si>
    <t>High Loan</t>
  </si>
  <si>
    <t>Low Loan</t>
  </si>
  <si>
    <t>Mid Loan</t>
  </si>
  <si>
    <t>Very High Loan</t>
  </si>
  <si>
    <t>Summary Dashboard</t>
  </si>
  <si>
    <t>Metric</t>
  </si>
  <si>
    <t>Value</t>
  </si>
  <si>
    <t>High-Risk Users (%)</t>
  </si>
  <si>
    <t>Best Performing Channel</t>
  </si>
  <si>
    <t>Worst Performing Channel</t>
  </si>
  <si>
    <t>Key Insights</t>
  </si>
  <si>
    <t>Insights Area</t>
  </si>
  <si>
    <t>Observation</t>
  </si>
  <si>
    <t>Interpretation</t>
  </si>
  <si>
    <t>Income</t>
  </si>
  <si>
    <t>Channel</t>
  </si>
  <si>
    <t>Tier 2 → Avg delay ≈ 9 days</t>
  </si>
  <si>
    <t>Medium income → 50.26 % delayed</t>
  </si>
  <si>
    <t>AI_Call → 61.19 % on-time</t>
  </si>
  <si>
    <t>Low Loan Amount → 10 days delay</t>
  </si>
  <si>
    <t>Middle-income users may have moderate repayment stress — need EMI reminders or flexible options.</t>
  </si>
  <si>
    <t>AI_Call working decently, but human/WhatsApp touch may improve engagement further.</t>
  </si>
  <si>
    <t>Even low-loan customers are delaying — indicates behavioral, not affordability, issue.</t>
  </si>
  <si>
    <t>Mid-tier cities need better communication or collection reminders; Tier 3 doing better.</t>
  </si>
  <si>
    <t>On_Time</t>
  </si>
  <si>
    <t>Row Labels</t>
  </si>
  <si>
    <t>1 Total</t>
  </si>
  <si>
    <t>2 Total</t>
  </si>
  <si>
    <t>3 Total</t>
  </si>
  <si>
    <t>% of Is_Delayed</t>
  </si>
  <si>
    <t xml:space="preserve">High Income </t>
  </si>
  <si>
    <t>Medium Income</t>
  </si>
  <si>
    <t>Low Income</t>
  </si>
  <si>
    <t>Income Group</t>
  </si>
  <si>
    <t>% of users Is_Delayed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</si>
</sst>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pivotButton="1" applyAlignment="1">
      <alignment horizontal="center"/>
    </xf>
  </cellXfs>
  <cellStyles count="1">
    <cellStyle name="Normal" xfId="0" builtinId="0"/>
  </cellStyles>
  <dxfs count="89">
    <dxf>
      <alignment horizontal="center" indent="0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14" formatCode="0.00%"/>
    </dxf>
    <dxf>
      <alignment horizontal="center" vertical="center"/>
    </dxf>
    <dxf>
      <numFmt numFmtId="14" formatCode="0.00%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EB9E0D12-1589-4B1D-B089-AD3A5B4E897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partB!$E$1</c:f>
              <c:strCache>
                <c:ptCount val="1"/>
                <c:pt idx="0">
                  <c:v>% of People On-Time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partB!$A$2:$A$6</c:f>
              <c:strCache>
                <c:ptCount val="5"/>
                <c:pt idx="0">
                  <c:v>Agent</c:v>
                </c:pt>
                <c:pt idx="1">
                  <c:v>AI_Call</c:v>
                </c:pt>
                <c:pt idx="2">
                  <c:v>IVR</c:v>
                </c:pt>
                <c:pt idx="3">
                  <c:v>WhatsApp</c:v>
                </c:pt>
                <c:pt idx="4">
                  <c:v>Grand Total</c:v>
                </c:pt>
              </c:strCache>
            </c:strRef>
          </c:cat>
          <c:val>
            <c:numRef>
              <c:f>partB!$E$2:$E$6</c:f>
              <c:numCache>
                <c:formatCode>0.00%</c:formatCode>
                <c:ptCount val="5"/>
                <c:pt idx="0">
                  <c:v>0.54545454545454541</c:v>
                </c:pt>
                <c:pt idx="1">
                  <c:v>0.61194029850746268</c:v>
                </c:pt>
                <c:pt idx="2">
                  <c:v>0.5</c:v>
                </c:pt>
                <c:pt idx="3">
                  <c:v>0.55172413793103448</c:v>
                </c:pt>
                <c:pt idx="4">
                  <c:v>0.55200000000000005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033-4F6D-8E7B-0A8C34FD129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853637967"/>
        <c:axId val="457427183"/>
      </c:barChart>
      <c:catAx>
        <c:axId val="1853637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427183"/>
        <c:crosses val="autoZero"/>
        <c:auto val="1"/>
        <c:lblAlgn val="ctr"/>
        <c:lblOffset val="100"/>
        <c:noMultiLvlLbl val="0"/>
      </c:catAx>
      <c:valAx>
        <c:axId val="45742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6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[werize assignment excel.xlsx]partB!PivotTable6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partB!$B$10:$B$11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partB!$A$12:$A$16</c:f>
              <c:strCache>
                <c:ptCount val="4"/>
                <c:pt idx="0">
                  <c:v>Agent</c:v>
                </c:pt>
                <c:pt idx="1">
                  <c:v>AI_Call</c:v>
                </c:pt>
                <c:pt idx="2">
                  <c:v>IVR</c:v>
                </c:pt>
                <c:pt idx="3">
                  <c:v>WhatsApp</c:v>
                </c:pt>
              </c:strCache>
            </c:strRef>
          </c:cat>
          <c:val>
            <c:numRef>
              <c:f>partB!$B$12:$B$16</c:f>
              <c:numCache>
                <c:formatCode>0.00</c:formatCode>
                <c:ptCount val="4"/>
                <c:pt idx="0">
                  <c:v>6.0869565217391308</c:v>
                </c:pt>
                <c:pt idx="1">
                  <c:v>6.8571428571428568</c:v>
                </c:pt>
                <c:pt idx="2">
                  <c:v>9.96875</c:v>
                </c:pt>
                <c:pt idx="3">
                  <c:v>7.258064516129032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0C-463C-9BD0-7570CE3F7198}"/>
            </c:ext>
          </c:extLst>
        </c:ser>
        <c:ser>
          <c:idx val="1"/>
          <c:order val="1"/>
          <c:tx>
            <c:strRef>
              <c:f>partB!$C$10:$C$11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partB!$A$12:$A$16</c:f>
              <c:strCache>
                <c:ptCount val="4"/>
                <c:pt idx="0">
                  <c:v>Agent</c:v>
                </c:pt>
                <c:pt idx="1">
                  <c:v>AI_Call</c:v>
                </c:pt>
                <c:pt idx="2">
                  <c:v>IVR</c:v>
                </c:pt>
                <c:pt idx="3">
                  <c:v>WhatsApp</c:v>
                </c:pt>
              </c:strCache>
            </c:strRef>
          </c:cat>
          <c:val>
            <c:numRef>
              <c:f>partB!$C$12:$C$16</c:f>
              <c:numCache>
                <c:formatCode>0.00</c:formatCode>
                <c:ptCount val="4"/>
                <c:pt idx="0">
                  <c:v>4.7272727272727275</c:v>
                </c:pt>
                <c:pt idx="1">
                  <c:v>10.448275862068966</c:v>
                </c:pt>
                <c:pt idx="2">
                  <c:v>8.9014084507042259</c:v>
                </c:pt>
                <c:pt idx="3">
                  <c:v>9.5142857142857142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0C-463C-9BD0-7570CE3F7198}"/>
            </c:ext>
          </c:extLst>
        </c:ser>
        <c:ser>
          <c:idx val="2"/>
          <c:order val="2"/>
          <c:tx>
            <c:strRef>
              <c:f>partB!$D$10:$D$11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partB!$A$12:$A$16</c:f>
              <c:strCache>
                <c:ptCount val="4"/>
                <c:pt idx="0">
                  <c:v>Agent</c:v>
                </c:pt>
                <c:pt idx="1">
                  <c:v>AI_Call</c:v>
                </c:pt>
                <c:pt idx="2">
                  <c:v>IVR</c:v>
                </c:pt>
                <c:pt idx="3">
                  <c:v>WhatsApp</c:v>
                </c:pt>
              </c:strCache>
            </c:strRef>
          </c:cat>
          <c:val>
            <c:numRef>
              <c:f>partB!$D$12:$D$16</c:f>
              <c:numCache>
                <c:formatCode>0.00</c:formatCode>
                <c:ptCount val="4"/>
                <c:pt idx="0">
                  <c:v>7.9047619047619051</c:v>
                </c:pt>
                <c:pt idx="1">
                  <c:v>5.583333333333333</c:v>
                </c:pt>
                <c:pt idx="2">
                  <c:v>2.1219512195121952</c:v>
                </c:pt>
                <c:pt idx="3">
                  <c:v>6.2272727272727275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0C-463C-9BD0-7570CE3F71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67694815"/>
        <c:axId val="467698175"/>
        <c:axId val="0"/>
      </c:bar3DChart>
      <c:catAx>
        <c:axId val="467694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698175"/>
        <c:crosses val="autoZero"/>
        <c:auto val="1"/>
        <c:lblAlgn val="ctr"/>
        <c:lblOffset val="100"/>
        <c:noMultiLvlLbl val="0"/>
      </c:catAx>
      <c:valAx>
        <c:axId val="467698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694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479257</xdr:colOff>
      <xdr:row>0</xdr:row>
      <xdr:rowOff>7820</xdr:rowOff>
    </xdr:from>
    <xdr:to>
      <xdr:col>12</xdr:col>
      <xdr:colOff>446689</xdr:colOff>
      <xdr:row>15</xdr:row>
      <xdr:rowOff>7820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BE34A1-6218-A88C-97D0-AF3A39F2B1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367336</xdr:colOff>
      <xdr:row>15</xdr:row>
      <xdr:rowOff>41562</xdr:rowOff>
    </xdr:from>
    <xdr:to>
      <xdr:col>12</xdr:col>
      <xdr:colOff>262758</xdr:colOff>
      <xdr:row>27</xdr:row>
      <xdr:rowOff>70070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03E91A-3AE7-EC82-9389-C46DFA5BC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KSHYA RAJ SINGH" refreshedDate="45967.807553472223" createdVersion="8" refreshedVersion="8" minRefreshableVersion="3" recordCount="500" xr:uid="{42801EFE-07E2-4037-8EA1-D830F26D654A}">
  <cacheSource type="worksheet">
    <worksheetSource ref="A1:M501" sheet="WeRize_Assignme"/>
  </cacheSource>
  <cacheFields count="13">
    <cacheField name="customer_id" numFmtId="0">
      <sharedItems/>
    </cacheField>
    <cacheField name="city_tier" numFmtId="0">
      <sharedItems containsSemiMixedTypes="0" containsString="0" containsNumber="1" containsInteger="1" minValue="1" maxValue="3" count="3">
        <n v="2"/>
        <n v="3"/>
        <n v="1"/>
      </sharedItems>
    </cacheField>
    <cacheField name="income_bracket" numFmtId="0">
      <sharedItems count="3">
        <s v="Medium"/>
        <s v="Low"/>
        <s v="High"/>
      </sharedItems>
    </cacheField>
    <cacheField name="loan_amount" numFmtId="0">
      <sharedItems containsSemiMixedTypes="0" containsString="0" containsNumber="1" containsInteger="1" minValue="20338" maxValue="99671"/>
    </cacheField>
    <cacheField name="emi_amount" numFmtId="0">
      <sharedItems containsSemiMixedTypes="0" containsString="0" containsNumber="1" containsInteger="1" minValue="1000" maxValue="16400"/>
    </cacheField>
    <cacheField name="due_date" numFmtId="14">
      <sharedItems containsSemiMixedTypes="0" containsNonDate="0" containsDate="1" containsString="0" minDate="2025-10-01T00:00:00" maxDate="2025-10-31T00:00:00"/>
    </cacheField>
    <cacheField name="paid_date" numFmtId="14">
      <sharedItems containsSemiMixedTypes="0" containsNonDate="0" containsDate="1" containsString="0" minDate="2025-10-01T00:00:00" maxDate="2025-12-29T00:00:00"/>
    </cacheField>
    <cacheField name="days_past_due" numFmtId="0">
      <sharedItems containsSemiMixedTypes="0" containsString="0" containsNumber="1" containsInteger="1" minValue="0" maxValue="60"/>
    </cacheField>
    <cacheField name="channel_used" numFmtId="0">
      <sharedItems count="4">
        <s v="Agent"/>
        <s v="AI_Call"/>
        <s v="IVR"/>
        <s v="WhatsApp"/>
      </sharedItems>
    </cacheField>
    <cacheField name="previous_delinquency" numFmtId="0">
      <sharedItems count="2">
        <s v="Yes"/>
        <s v="No"/>
      </sharedItems>
    </cacheField>
    <cacheField name="response_text" numFmtId="0">
      <sharedItems/>
    </cacheField>
    <cacheField name="Is_Delayed" numFmtId="0">
      <sharedItems containsSemiMixedTypes="0" containsString="0" containsNumber="1" containsInteger="1" minValue="0" maxValue="1"/>
    </cacheField>
    <cacheField name="Delay_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KSHYA RAJ SINGH" refreshedDate="45967.999896527777" createdVersion="8" refreshedVersion="8" minRefreshableVersion="3" recordCount="500" xr:uid="{4EC0E645-90B2-4744-9EA1-CD05EB82E616}">
  <cacheSource type="worksheet">
    <worksheetSource ref="A1:O501" sheet="WeRize_Assignme"/>
  </cacheSource>
  <cacheFields count="15">
    <cacheField name="customer_id" numFmtId="0">
      <sharedItems count="500">
        <s v="CUST_0001"/>
        <s v="CUST_0002"/>
        <s v="CUST_0003"/>
        <s v="CUST_0004"/>
        <s v="CUST_0005"/>
        <s v="CUST_0006"/>
        <s v="CUST_0007"/>
        <s v="CUST_0008"/>
        <s v="CUST_0009"/>
        <s v="CUST_0010"/>
        <s v="CUST_0011"/>
        <s v="CUST_0012"/>
        <s v="CUST_0013"/>
        <s v="CUST_0014"/>
        <s v="CUST_0015"/>
        <s v="CUST_0016"/>
        <s v="CUST_0017"/>
        <s v="CUST_0018"/>
        <s v="CUST_0019"/>
        <s v="CUST_0020"/>
        <s v="CUST_0021"/>
        <s v="CUST_0022"/>
        <s v="CUST_0023"/>
        <s v="CUST_0024"/>
        <s v="CUST_0025"/>
        <s v="CUST_0026"/>
        <s v="CUST_0027"/>
        <s v="CUST_0028"/>
        <s v="CUST_0029"/>
        <s v="CUST_0030"/>
        <s v="CUST_0031"/>
        <s v="CUST_0032"/>
        <s v="CUST_0033"/>
        <s v="CUST_0034"/>
        <s v="CUST_0035"/>
        <s v="CUST_0036"/>
        <s v="CUST_0037"/>
        <s v="CUST_0038"/>
        <s v="CUST_0039"/>
        <s v="CUST_0040"/>
        <s v="CUST_0041"/>
        <s v="CUST_0042"/>
        <s v="CUST_0043"/>
        <s v="CUST_0044"/>
        <s v="CUST_0045"/>
        <s v="CUST_0046"/>
        <s v="CUST_0047"/>
        <s v="CUST_0048"/>
        <s v="CUST_0049"/>
        <s v="CUST_0050"/>
        <s v="CUST_0051"/>
        <s v="CUST_0052"/>
        <s v="CUST_0053"/>
        <s v="CUST_0054"/>
        <s v="CUST_0055"/>
        <s v="CUST_0056"/>
        <s v="CUST_0057"/>
        <s v="CUST_0058"/>
        <s v="CUST_0059"/>
        <s v="CUST_0060"/>
        <s v="CUST_0061"/>
        <s v="CUST_0062"/>
        <s v="CUST_0063"/>
        <s v="CUST_0064"/>
        <s v="CUST_0065"/>
        <s v="CUST_0066"/>
        <s v="CUST_0067"/>
        <s v="CUST_0068"/>
        <s v="CUST_0069"/>
        <s v="CUST_0070"/>
        <s v="CUST_0071"/>
        <s v="CUST_0072"/>
        <s v="CUST_0073"/>
        <s v="CUST_0074"/>
        <s v="CUST_0075"/>
        <s v="CUST_0076"/>
        <s v="CUST_0077"/>
        <s v="CUST_0078"/>
        <s v="CUST_0079"/>
        <s v="CUST_0080"/>
        <s v="CUST_0081"/>
        <s v="CUST_0082"/>
        <s v="CUST_0083"/>
        <s v="CUST_0084"/>
        <s v="CUST_0085"/>
        <s v="CUST_0086"/>
        <s v="CUST_0087"/>
        <s v="CUST_0088"/>
        <s v="CUST_0089"/>
        <s v="CUST_0090"/>
        <s v="CUST_0091"/>
        <s v="CUST_0092"/>
        <s v="CUST_0093"/>
        <s v="CUST_0094"/>
        <s v="CUST_0095"/>
        <s v="CUST_0096"/>
        <s v="CUST_0097"/>
        <s v="CUST_0098"/>
        <s v="CUST_0099"/>
        <s v="CUST_0100"/>
        <s v="CUST_0101"/>
        <s v="CUST_0102"/>
        <s v="CUST_0103"/>
        <s v="CUST_0104"/>
        <s v="CUST_0105"/>
        <s v="CUST_0106"/>
        <s v="CUST_0107"/>
        <s v="CUST_0108"/>
        <s v="CUST_0109"/>
        <s v="CUST_0110"/>
        <s v="CUST_0111"/>
        <s v="CUST_0112"/>
        <s v="CUST_0113"/>
        <s v="CUST_0114"/>
        <s v="CUST_0115"/>
        <s v="CUST_0116"/>
        <s v="CUST_0117"/>
        <s v="CUST_0118"/>
        <s v="CUST_0119"/>
        <s v="CUST_0120"/>
        <s v="CUST_0121"/>
        <s v="CUST_0122"/>
        <s v="CUST_0123"/>
        <s v="CUST_0124"/>
        <s v="CUST_0125"/>
        <s v="CUST_0126"/>
        <s v="CUST_0127"/>
        <s v="CUST_0128"/>
        <s v="CUST_0129"/>
        <s v="CUST_0130"/>
        <s v="CUST_0131"/>
        <s v="CUST_0132"/>
        <s v="CUST_0133"/>
        <s v="CUST_0134"/>
        <s v="CUST_0135"/>
        <s v="CUST_0136"/>
        <s v="CUST_0137"/>
        <s v="CUST_0138"/>
        <s v="CUST_0139"/>
        <s v="CUST_0140"/>
        <s v="CUST_0141"/>
        <s v="CUST_0142"/>
        <s v="CUST_0143"/>
        <s v="CUST_0144"/>
        <s v="CUST_0145"/>
        <s v="CUST_0146"/>
        <s v="CUST_0147"/>
        <s v="CUST_0148"/>
        <s v="CUST_0149"/>
        <s v="CUST_0150"/>
        <s v="CUST_0151"/>
        <s v="CUST_0152"/>
        <s v="CUST_0153"/>
        <s v="CUST_0154"/>
        <s v="CUST_0155"/>
        <s v="CUST_0156"/>
        <s v="CUST_0157"/>
        <s v="CUST_0158"/>
        <s v="CUST_0159"/>
        <s v="CUST_0160"/>
        <s v="CUST_0161"/>
        <s v="CUST_0162"/>
        <s v="CUST_0163"/>
        <s v="CUST_0164"/>
        <s v="CUST_0165"/>
        <s v="CUST_0166"/>
        <s v="CUST_0167"/>
        <s v="CUST_0168"/>
        <s v="CUST_0169"/>
        <s v="CUST_0170"/>
        <s v="CUST_0171"/>
        <s v="CUST_0172"/>
        <s v="CUST_0173"/>
        <s v="CUST_0174"/>
        <s v="CUST_0175"/>
        <s v="CUST_0176"/>
        <s v="CUST_0177"/>
        <s v="CUST_0178"/>
        <s v="CUST_0179"/>
        <s v="CUST_0180"/>
        <s v="CUST_0181"/>
        <s v="CUST_0182"/>
        <s v="CUST_0183"/>
        <s v="CUST_0184"/>
        <s v="CUST_0185"/>
        <s v="CUST_0186"/>
        <s v="CUST_0187"/>
        <s v="CUST_0188"/>
        <s v="CUST_0189"/>
        <s v="CUST_0190"/>
        <s v="CUST_0191"/>
        <s v="CUST_0192"/>
        <s v="CUST_0193"/>
        <s v="CUST_0194"/>
        <s v="CUST_0195"/>
        <s v="CUST_0196"/>
        <s v="CUST_0197"/>
        <s v="CUST_0198"/>
        <s v="CUST_0199"/>
        <s v="CUST_0200"/>
        <s v="CUST_0201"/>
        <s v="CUST_0202"/>
        <s v="CUST_0203"/>
        <s v="CUST_0204"/>
        <s v="CUST_0205"/>
        <s v="CUST_0206"/>
        <s v="CUST_0207"/>
        <s v="CUST_0208"/>
        <s v="CUST_0209"/>
        <s v="CUST_0210"/>
        <s v="CUST_0211"/>
        <s v="CUST_0212"/>
        <s v="CUST_0213"/>
        <s v="CUST_0214"/>
        <s v="CUST_0215"/>
        <s v="CUST_0216"/>
        <s v="CUST_0217"/>
        <s v="CUST_0218"/>
        <s v="CUST_0219"/>
        <s v="CUST_0220"/>
        <s v="CUST_0221"/>
        <s v="CUST_0222"/>
        <s v="CUST_0223"/>
        <s v="CUST_0224"/>
        <s v="CUST_0225"/>
        <s v="CUST_0226"/>
        <s v="CUST_0227"/>
        <s v="CUST_0228"/>
        <s v="CUST_0229"/>
        <s v="CUST_0230"/>
        <s v="CUST_0231"/>
        <s v="CUST_0232"/>
        <s v="CUST_0233"/>
        <s v="CUST_0234"/>
        <s v="CUST_0235"/>
        <s v="CUST_0236"/>
        <s v="CUST_0237"/>
        <s v="CUST_0238"/>
        <s v="CUST_0239"/>
        <s v="CUST_0240"/>
        <s v="CUST_0241"/>
        <s v="CUST_0242"/>
        <s v="CUST_0243"/>
        <s v="CUST_0244"/>
        <s v="CUST_0245"/>
        <s v="CUST_0246"/>
        <s v="CUST_0247"/>
        <s v="CUST_0248"/>
        <s v="CUST_0249"/>
        <s v="CUST_0250"/>
        <s v="CUST_0251"/>
        <s v="CUST_0252"/>
        <s v="CUST_0253"/>
        <s v="CUST_0254"/>
        <s v="CUST_0255"/>
        <s v="CUST_0256"/>
        <s v="CUST_0257"/>
        <s v="CUST_0258"/>
        <s v="CUST_0259"/>
        <s v="CUST_0260"/>
        <s v="CUST_0261"/>
        <s v="CUST_0262"/>
        <s v="CUST_0263"/>
        <s v="CUST_0264"/>
        <s v="CUST_0265"/>
        <s v="CUST_0266"/>
        <s v="CUST_0267"/>
        <s v="CUST_0268"/>
        <s v="CUST_0269"/>
        <s v="CUST_0270"/>
        <s v="CUST_0271"/>
        <s v="CUST_0272"/>
        <s v="CUST_0273"/>
        <s v="CUST_0274"/>
        <s v="CUST_0275"/>
        <s v="CUST_0276"/>
        <s v="CUST_0277"/>
        <s v="CUST_0278"/>
        <s v="CUST_0279"/>
        <s v="CUST_0280"/>
        <s v="CUST_0281"/>
        <s v="CUST_0282"/>
        <s v="CUST_0283"/>
        <s v="CUST_0284"/>
        <s v="CUST_0285"/>
        <s v="CUST_0286"/>
        <s v="CUST_0287"/>
        <s v="CUST_0288"/>
        <s v="CUST_0289"/>
        <s v="CUST_0290"/>
        <s v="CUST_0291"/>
        <s v="CUST_0292"/>
        <s v="CUST_0293"/>
        <s v="CUST_0294"/>
        <s v="CUST_0295"/>
        <s v="CUST_0296"/>
        <s v="CUST_0297"/>
        <s v="CUST_0298"/>
        <s v="CUST_0299"/>
        <s v="CUST_0300"/>
        <s v="CUST_0301"/>
        <s v="CUST_0302"/>
        <s v="CUST_0303"/>
        <s v="CUST_0304"/>
        <s v="CUST_0305"/>
        <s v="CUST_0306"/>
        <s v="CUST_0307"/>
        <s v="CUST_0308"/>
        <s v="CUST_0309"/>
        <s v="CUST_0310"/>
        <s v="CUST_0311"/>
        <s v="CUST_0312"/>
        <s v="CUST_0313"/>
        <s v="CUST_0314"/>
        <s v="CUST_0315"/>
        <s v="CUST_0316"/>
        <s v="CUST_0317"/>
        <s v="CUST_0318"/>
        <s v="CUST_0319"/>
        <s v="CUST_0320"/>
        <s v="CUST_0321"/>
        <s v="CUST_0322"/>
        <s v="CUST_0323"/>
        <s v="CUST_0324"/>
        <s v="CUST_0325"/>
        <s v="CUST_0326"/>
        <s v="CUST_0327"/>
        <s v="CUST_0328"/>
        <s v="CUST_0329"/>
        <s v="CUST_0330"/>
        <s v="CUST_0331"/>
        <s v="CUST_0332"/>
        <s v="CUST_0333"/>
        <s v="CUST_0334"/>
        <s v="CUST_0335"/>
        <s v="CUST_0336"/>
        <s v="CUST_0337"/>
        <s v="CUST_0338"/>
        <s v="CUST_0339"/>
        <s v="CUST_0340"/>
        <s v="CUST_0341"/>
        <s v="CUST_0342"/>
        <s v="CUST_0343"/>
        <s v="CUST_0344"/>
        <s v="CUST_0345"/>
        <s v="CUST_0346"/>
        <s v="CUST_0347"/>
        <s v="CUST_0348"/>
        <s v="CUST_0349"/>
        <s v="CUST_0350"/>
        <s v="CUST_0351"/>
        <s v="CUST_0352"/>
        <s v="CUST_0353"/>
        <s v="CUST_0354"/>
        <s v="CUST_0355"/>
        <s v="CUST_0356"/>
        <s v="CUST_0357"/>
        <s v="CUST_0358"/>
        <s v="CUST_0359"/>
        <s v="CUST_0360"/>
        <s v="CUST_0361"/>
        <s v="CUST_0362"/>
        <s v="CUST_0363"/>
        <s v="CUST_0364"/>
        <s v="CUST_0365"/>
        <s v="CUST_0366"/>
        <s v="CUST_0367"/>
        <s v="CUST_0368"/>
        <s v="CUST_0369"/>
        <s v="CUST_0370"/>
        <s v="CUST_0371"/>
        <s v="CUST_0372"/>
        <s v="CUST_0373"/>
        <s v="CUST_0374"/>
        <s v="CUST_0375"/>
        <s v="CUST_0376"/>
        <s v="CUST_0377"/>
        <s v="CUST_0378"/>
        <s v="CUST_0379"/>
        <s v="CUST_0380"/>
        <s v="CUST_0381"/>
        <s v="CUST_0382"/>
        <s v="CUST_0383"/>
        <s v="CUST_0384"/>
        <s v="CUST_0385"/>
        <s v="CUST_0386"/>
        <s v="CUST_0387"/>
        <s v="CUST_0388"/>
        <s v="CUST_0389"/>
        <s v="CUST_0390"/>
        <s v="CUST_0391"/>
        <s v="CUST_0392"/>
        <s v="CUST_0393"/>
        <s v="CUST_0394"/>
        <s v="CUST_0395"/>
        <s v="CUST_0396"/>
        <s v="CUST_0397"/>
        <s v="CUST_0398"/>
        <s v="CUST_0399"/>
        <s v="CUST_0400"/>
        <s v="CUST_0401"/>
        <s v="CUST_0402"/>
        <s v="CUST_0403"/>
        <s v="CUST_0404"/>
        <s v="CUST_0405"/>
        <s v="CUST_0406"/>
        <s v="CUST_0407"/>
        <s v="CUST_0408"/>
        <s v="CUST_0409"/>
        <s v="CUST_0410"/>
        <s v="CUST_0411"/>
        <s v="CUST_0412"/>
        <s v="CUST_0413"/>
        <s v="CUST_0414"/>
        <s v="CUST_0415"/>
        <s v="CUST_0416"/>
        <s v="CUST_0417"/>
        <s v="CUST_0418"/>
        <s v="CUST_0419"/>
        <s v="CUST_0420"/>
        <s v="CUST_0421"/>
        <s v="CUST_0422"/>
        <s v="CUST_0423"/>
        <s v="CUST_0424"/>
        <s v="CUST_0425"/>
        <s v="CUST_0426"/>
        <s v="CUST_0427"/>
        <s v="CUST_0428"/>
        <s v="CUST_0429"/>
        <s v="CUST_0430"/>
        <s v="CUST_0431"/>
        <s v="CUST_0432"/>
        <s v="CUST_0433"/>
        <s v="CUST_0434"/>
        <s v="CUST_0435"/>
        <s v="CUST_0436"/>
        <s v="CUST_0437"/>
        <s v="CUST_0438"/>
        <s v="CUST_0439"/>
        <s v="CUST_0440"/>
        <s v="CUST_0441"/>
        <s v="CUST_0442"/>
        <s v="CUST_0443"/>
        <s v="CUST_0444"/>
        <s v="CUST_0445"/>
        <s v="CUST_0446"/>
        <s v="CUST_0447"/>
        <s v="CUST_0448"/>
        <s v="CUST_0449"/>
        <s v="CUST_0450"/>
        <s v="CUST_0451"/>
        <s v="CUST_0452"/>
        <s v="CUST_0453"/>
        <s v="CUST_0454"/>
        <s v="CUST_0455"/>
        <s v="CUST_0456"/>
        <s v="CUST_0457"/>
        <s v="CUST_0458"/>
        <s v="CUST_0459"/>
        <s v="CUST_0460"/>
        <s v="CUST_0461"/>
        <s v="CUST_0462"/>
        <s v="CUST_0463"/>
        <s v="CUST_0464"/>
        <s v="CUST_0465"/>
        <s v="CUST_0466"/>
        <s v="CUST_0467"/>
        <s v="CUST_0468"/>
        <s v="CUST_0469"/>
        <s v="CUST_0470"/>
        <s v="CUST_0471"/>
        <s v="CUST_0472"/>
        <s v="CUST_0473"/>
        <s v="CUST_0474"/>
        <s v="CUST_0475"/>
        <s v="CUST_0476"/>
        <s v="CUST_0477"/>
        <s v="CUST_0478"/>
        <s v="CUST_0479"/>
        <s v="CUST_0480"/>
        <s v="CUST_0481"/>
        <s v="CUST_0482"/>
        <s v="CUST_0483"/>
        <s v="CUST_0484"/>
        <s v="CUST_0485"/>
        <s v="CUST_0486"/>
        <s v="CUST_0487"/>
        <s v="CUST_0488"/>
        <s v="CUST_0489"/>
        <s v="CUST_0490"/>
        <s v="CUST_0491"/>
        <s v="CUST_0492"/>
        <s v="CUST_0493"/>
        <s v="CUST_0494"/>
        <s v="CUST_0495"/>
        <s v="CUST_0496"/>
        <s v="CUST_0497"/>
        <s v="CUST_0498"/>
        <s v="CUST_0499"/>
        <s v="CUST_0500"/>
      </sharedItems>
    </cacheField>
    <cacheField name="city_tier" numFmtId="0">
      <sharedItems containsSemiMixedTypes="0" containsString="0" containsNumber="1" containsInteger="1" minValue="1" maxValue="3" count="3">
        <n v="2"/>
        <n v="3"/>
        <n v="1"/>
      </sharedItems>
    </cacheField>
    <cacheField name="income_bracket" numFmtId="0">
      <sharedItems count="3">
        <s v="Medium"/>
        <s v="Low"/>
        <s v="High"/>
      </sharedItems>
    </cacheField>
    <cacheField name="loan_amount" numFmtId="0">
      <sharedItems containsSemiMixedTypes="0" containsString="0" containsNumber="1" containsInteger="1" minValue="20338" maxValue="99671"/>
    </cacheField>
    <cacheField name="emi_amount" numFmtId="0">
      <sharedItems containsSemiMixedTypes="0" containsString="0" containsNumber="1" containsInteger="1" minValue="1000" maxValue="16400"/>
    </cacheField>
    <cacheField name="due_date" numFmtId="14">
      <sharedItems containsSemiMixedTypes="0" containsNonDate="0" containsDate="1" containsString="0" minDate="2025-10-01T00:00:00" maxDate="2025-10-31T00:00:00"/>
    </cacheField>
    <cacheField name="paid_date" numFmtId="14">
      <sharedItems containsSemiMixedTypes="0" containsNonDate="0" containsDate="1" containsString="0" minDate="2025-10-01T00:00:00" maxDate="2025-12-29T00:00:00"/>
    </cacheField>
    <cacheField name="days_past_due" numFmtId="0">
      <sharedItems containsSemiMixedTypes="0" containsString="0" containsNumber="1" containsInteger="1" minValue="0" maxValue="60"/>
    </cacheField>
    <cacheField name="channel_used" numFmtId="0">
      <sharedItems/>
    </cacheField>
    <cacheField name="previous_delinquency" numFmtId="0">
      <sharedItems count="2">
        <s v="Yes"/>
        <s v="No"/>
      </sharedItems>
    </cacheField>
    <cacheField name="response_text" numFmtId="0">
      <sharedItems/>
    </cacheField>
    <cacheField name="Is_Delayed" numFmtId="0">
      <sharedItems containsSemiMixedTypes="0" containsString="0" containsNumber="1" containsInteger="1" minValue="0" maxValue="1"/>
    </cacheField>
    <cacheField name="Delay_Status" numFmtId="0">
      <sharedItems/>
    </cacheField>
    <cacheField name="Risk_Category" numFmtId="0">
      <sharedItems count="3">
        <s v="Medium"/>
        <s v="Low"/>
        <s v="High"/>
      </sharedItems>
    </cacheField>
    <cacheField name="prev_delinquency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KSHYA RAJ SINGH" refreshedDate="45968.032854166668" createdVersion="8" refreshedVersion="8" minRefreshableVersion="3" recordCount="500" xr:uid="{83D5BD51-9E0A-4648-8ABF-CD192FCC4286}">
  <cacheSource type="worksheet">
    <worksheetSource ref="A1:P501" sheet="WeRize_Assignme"/>
  </cacheSource>
  <cacheFields count="16">
    <cacheField name="customer_id" numFmtId="0">
      <sharedItems/>
    </cacheField>
    <cacheField name="city_tier" numFmtId="0">
      <sharedItems containsSemiMixedTypes="0" containsString="0" containsNumber="1" containsInteger="1" minValue="1" maxValue="3" count="3">
        <n v="2"/>
        <n v="3"/>
        <n v="1"/>
      </sharedItems>
    </cacheField>
    <cacheField name="income_bracket" numFmtId="0">
      <sharedItems/>
    </cacheField>
    <cacheField name="loan_amount" numFmtId="0">
      <sharedItems containsSemiMixedTypes="0" containsString="0" containsNumber="1" containsInteger="1" minValue="20338" maxValue="99671"/>
    </cacheField>
    <cacheField name="emi_amount" numFmtId="0">
      <sharedItems containsSemiMixedTypes="0" containsString="0" containsNumber="1" containsInteger="1" minValue="1000" maxValue="16400"/>
    </cacheField>
    <cacheField name="due_date" numFmtId="14">
      <sharedItems containsSemiMixedTypes="0" containsNonDate="0" containsDate="1" containsString="0" minDate="2025-10-01T00:00:00" maxDate="2025-10-31T00:00:00"/>
    </cacheField>
    <cacheField name="paid_date" numFmtId="14">
      <sharedItems containsSemiMixedTypes="0" containsNonDate="0" containsDate="1" containsString="0" minDate="2025-10-01T00:00:00" maxDate="2025-12-29T00:00:00"/>
    </cacheField>
    <cacheField name="days_past_due" numFmtId="0">
      <sharedItems containsSemiMixedTypes="0" containsString="0" containsNumber="1" containsInteger="1" minValue="0" maxValue="60"/>
    </cacheField>
    <cacheField name="channel_used" numFmtId="0">
      <sharedItems count="4">
        <s v="Agent"/>
        <s v="AI_Call"/>
        <s v="IVR"/>
        <s v="WhatsApp"/>
      </sharedItems>
    </cacheField>
    <cacheField name="previous_delinquency" numFmtId="0">
      <sharedItems/>
    </cacheField>
    <cacheField name="response_text" numFmtId="0">
      <sharedItems/>
    </cacheField>
    <cacheField name="Is_Delayed" numFmtId="0">
      <sharedItems containsSemiMixedTypes="0" containsString="0" containsNumber="1" containsInteger="1" minValue="0" maxValue="1"/>
    </cacheField>
    <cacheField name="Delay_Status" numFmtId="0">
      <sharedItems/>
    </cacheField>
    <cacheField name="Risk_Category" numFmtId="0">
      <sharedItems/>
    </cacheField>
    <cacheField name="prev_delinquency" numFmtId="0">
      <sharedItems containsSemiMixedTypes="0" containsString="0" containsNumber="1" containsInteger="1" minValue="0" maxValue="1"/>
    </cacheField>
    <cacheField name="Loan_Bucket" numFmtId="0">
      <sharedItems count="4">
        <s v="High Loan"/>
        <s v="Low Loan"/>
        <s v="Very High Loan"/>
        <s v="Mid Loa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KSHYA RAJ SINGH" refreshedDate="45968.626255671297" createdVersion="8" refreshedVersion="8" minRefreshableVersion="3" recordCount="500" xr:uid="{81C0C57D-7DBF-4285-9D45-DBFDC29D21C6}">
  <cacheSource type="worksheet">
    <worksheetSource ref="A1:Q501" sheet="WeRize_Assignme"/>
  </cacheSource>
  <cacheFields count="17">
    <cacheField name="customer_id" numFmtId="0">
      <sharedItems/>
    </cacheField>
    <cacheField name="city_tier" numFmtId="0">
      <sharedItems containsSemiMixedTypes="0" containsString="0" containsNumber="1" containsInteger="1" minValue="1" maxValue="3" count="3">
        <n v="2"/>
        <n v="3"/>
        <n v="1"/>
      </sharedItems>
    </cacheField>
    <cacheField name="income_bracket" numFmtId="0">
      <sharedItems count="3">
        <s v="Medium"/>
        <s v="Low"/>
        <s v="High"/>
      </sharedItems>
    </cacheField>
    <cacheField name="loan_amount" numFmtId="0">
      <sharedItems containsSemiMixedTypes="0" containsString="0" containsNumber="1" containsInteger="1" minValue="20338" maxValue="99671"/>
    </cacheField>
    <cacheField name="emi_amount" numFmtId="0">
      <sharedItems containsSemiMixedTypes="0" containsString="0" containsNumber="1" containsInteger="1" minValue="1000" maxValue="16400"/>
    </cacheField>
    <cacheField name="due_date" numFmtId="14">
      <sharedItems containsSemiMixedTypes="0" containsNonDate="0" containsDate="1" containsString="0" minDate="2025-10-01T00:00:00" maxDate="2025-10-31T00:00:00"/>
    </cacheField>
    <cacheField name="paid_date" numFmtId="14">
      <sharedItems containsSemiMixedTypes="0" containsNonDate="0" containsDate="1" containsString="0" minDate="2025-10-01T00:00:00" maxDate="2025-12-29T00:00:00"/>
    </cacheField>
    <cacheField name="days_past_due" numFmtId="0">
      <sharedItems containsSemiMixedTypes="0" containsString="0" containsNumber="1" containsInteger="1" minValue="0" maxValue="60"/>
    </cacheField>
    <cacheField name="channel_used" numFmtId="0">
      <sharedItems count="4">
        <s v="Agent"/>
        <s v="AI_Call"/>
        <s v="IVR"/>
        <s v="WhatsApp"/>
      </sharedItems>
    </cacheField>
    <cacheField name="previous_delinquency" numFmtId="0">
      <sharedItems/>
    </cacheField>
    <cacheField name="response_text" numFmtId="0">
      <sharedItems count="10">
        <s v="Need settlement offer"/>
        <s v="Dispute on EMI amount"/>
        <s v="Will pay tomorrow"/>
        <s v="Paid already"/>
        <s v="Lost my job, need more time"/>
        <s v="No response"/>
        <s v="Will pay next week"/>
        <s v="Will clear dues soon"/>
        <s v="Cannot pay right now"/>
        <s v="Please stop calling"/>
      </sharedItems>
    </cacheField>
    <cacheField name="Is_Delayed" numFmtId="0">
      <sharedItems containsSemiMixedTypes="0" containsString="0" containsNumber="1" containsInteger="1" minValue="0" maxValue="1"/>
    </cacheField>
    <cacheField name="Delay_Status" numFmtId="0">
      <sharedItems/>
    </cacheField>
    <cacheField name="Risk_Category" numFmtId="0">
      <sharedItems count="3">
        <s v="Medium"/>
        <s v="Low"/>
        <s v="High"/>
      </sharedItems>
    </cacheField>
    <cacheField name="prev_delinquency" numFmtId="0">
      <sharedItems containsSemiMixedTypes="0" containsString="0" containsNumber="1" containsInteger="1" minValue="0" maxValue="1"/>
    </cacheField>
    <cacheField name="Loan_Bucket" numFmtId="0">
      <sharedItems count="4">
        <s v="High Loan"/>
        <s v="Low Loan"/>
        <s v="Very High Loan"/>
        <s v="Mid Loan"/>
      </sharedItems>
    </cacheField>
    <cacheField name="On_Time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s v="CUST_0001"/>
    <x v="0"/>
    <x v="0"/>
    <n v="77134"/>
    <n v="3400"/>
    <d v="2025-10-08T00:00:00"/>
    <d v="2025-10-11T00:00:00"/>
    <n v="3"/>
    <x v="0"/>
    <x v="0"/>
    <s v="Need settlement offer"/>
    <n v="1"/>
    <s v="Delayed"/>
  </r>
  <r>
    <s v="CUST_0002"/>
    <x v="1"/>
    <x v="0"/>
    <n v="40491"/>
    <n v="2100"/>
    <d v="2025-10-18T00:00:00"/>
    <d v="2025-10-18T00:00:00"/>
    <n v="0"/>
    <x v="1"/>
    <x v="0"/>
    <s v="Dispute on EMI amount"/>
    <n v="0"/>
    <s v="On Time"/>
  </r>
  <r>
    <s v="CUST_0003"/>
    <x v="1"/>
    <x v="1"/>
    <n v="21341"/>
    <n v="3000"/>
    <d v="2025-10-23T00:00:00"/>
    <d v="2025-10-26T00:00:00"/>
    <n v="3"/>
    <x v="2"/>
    <x v="1"/>
    <s v="Will pay tomorrow"/>
    <n v="1"/>
    <s v="Delayed"/>
  </r>
  <r>
    <s v="CUST_0004"/>
    <x v="0"/>
    <x v="0"/>
    <n v="64623"/>
    <n v="4600"/>
    <d v="2025-10-09T00:00:00"/>
    <d v="2025-10-09T00:00:00"/>
    <n v="0"/>
    <x v="2"/>
    <x v="1"/>
    <s v="Will pay tomorrow"/>
    <n v="0"/>
    <s v="On Time"/>
  </r>
  <r>
    <s v="CUST_0005"/>
    <x v="2"/>
    <x v="0"/>
    <n v="20338"/>
    <n v="2000"/>
    <d v="2025-10-25T00:00:00"/>
    <d v="2025-11-24T00:00:00"/>
    <n v="30"/>
    <x v="0"/>
    <x v="1"/>
    <s v="Paid already"/>
    <n v="1"/>
    <s v="Delayed"/>
  </r>
  <r>
    <s v="CUST_0006"/>
    <x v="2"/>
    <x v="1"/>
    <n v="91431"/>
    <n v="15200"/>
    <d v="2025-10-08T00:00:00"/>
    <d v="2025-10-08T00:00:00"/>
    <n v="0"/>
    <x v="3"/>
    <x v="1"/>
    <s v="Paid already"/>
    <n v="0"/>
    <s v="On Time"/>
  </r>
  <r>
    <s v="CUST_0007"/>
    <x v="2"/>
    <x v="2"/>
    <n v="32254"/>
    <n v="4000"/>
    <d v="2025-10-27T00:00:00"/>
    <d v="2025-10-27T00:00:00"/>
    <n v="0"/>
    <x v="2"/>
    <x v="1"/>
    <s v="Dispute on EMI amount"/>
    <n v="0"/>
    <s v="On Time"/>
  </r>
  <r>
    <s v="CUST_0008"/>
    <x v="1"/>
    <x v="0"/>
    <n v="71860"/>
    <n v="6500"/>
    <d v="2025-10-14T00:00:00"/>
    <d v="2025-10-17T00:00:00"/>
    <n v="3"/>
    <x v="1"/>
    <x v="1"/>
    <s v="Lost my job, need more time"/>
    <n v="1"/>
    <s v="Delayed"/>
  </r>
  <r>
    <s v="CUST_0009"/>
    <x v="0"/>
    <x v="2"/>
    <n v="31344"/>
    <n v="3100"/>
    <d v="2025-10-28T00:00:00"/>
    <d v="2025-10-28T00:00:00"/>
    <n v="0"/>
    <x v="1"/>
    <x v="1"/>
    <s v="No response"/>
    <n v="0"/>
    <s v="On Time"/>
  </r>
  <r>
    <s v="CUST_0010"/>
    <x v="1"/>
    <x v="0"/>
    <n v="21750"/>
    <n v="2200"/>
    <d v="2025-10-26T00:00:00"/>
    <d v="2025-10-26T00:00:00"/>
    <n v="0"/>
    <x v="3"/>
    <x v="1"/>
    <s v="Lost my job, need more time"/>
    <n v="0"/>
    <s v="On Time"/>
  </r>
  <r>
    <s v="CUST_0011"/>
    <x v="2"/>
    <x v="0"/>
    <n v="74756"/>
    <n v="12500"/>
    <d v="2025-10-25T00:00:00"/>
    <d v="2025-11-01T00:00:00"/>
    <n v="7"/>
    <x v="1"/>
    <x v="0"/>
    <s v="No response"/>
    <n v="1"/>
    <s v="Delayed"/>
  </r>
  <r>
    <s v="CUST_0012"/>
    <x v="1"/>
    <x v="1"/>
    <n v="87957"/>
    <n v="4000"/>
    <d v="2025-10-18T00:00:00"/>
    <d v="2025-11-02T00:00:00"/>
    <n v="15"/>
    <x v="1"/>
    <x v="1"/>
    <s v="No response"/>
    <n v="1"/>
    <s v="Delayed"/>
  </r>
  <r>
    <s v="CUST_0013"/>
    <x v="1"/>
    <x v="2"/>
    <n v="78053"/>
    <n v="4100"/>
    <d v="2025-10-22T00:00:00"/>
    <d v="2025-10-22T00:00:00"/>
    <n v="0"/>
    <x v="3"/>
    <x v="1"/>
    <s v="Need settlement offer"/>
    <n v="0"/>
    <s v="On Time"/>
  </r>
  <r>
    <s v="CUST_0014"/>
    <x v="0"/>
    <x v="0"/>
    <n v="90855"/>
    <n v="5300"/>
    <d v="2025-10-20T00:00:00"/>
    <d v="2025-10-27T00:00:00"/>
    <n v="7"/>
    <x v="0"/>
    <x v="0"/>
    <s v="Need settlement offer"/>
    <n v="1"/>
    <s v="Delayed"/>
  </r>
  <r>
    <s v="CUST_0015"/>
    <x v="2"/>
    <x v="1"/>
    <n v="35896"/>
    <n v="2400"/>
    <d v="2025-10-30T00:00:00"/>
    <d v="2025-12-14T00:00:00"/>
    <n v="45"/>
    <x v="3"/>
    <x v="1"/>
    <s v="Paid already"/>
    <n v="1"/>
    <s v="Delayed"/>
  </r>
  <r>
    <s v="CUST_0016"/>
    <x v="2"/>
    <x v="1"/>
    <n v="75761"/>
    <n v="3300"/>
    <d v="2025-10-20T00:00:00"/>
    <d v="2025-11-04T00:00:00"/>
    <n v="15"/>
    <x v="2"/>
    <x v="1"/>
    <s v="Need settlement offer"/>
    <n v="1"/>
    <s v="Delayed"/>
  </r>
  <r>
    <s v="CUST_0017"/>
    <x v="0"/>
    <x v="1"/>
    <n v="82552"/>
    <n v="5200"/>
    <d v="2025-10-21T00:00:00"/>
    <d v="2025-10-21T00:00:00"/>
    <n v="0"/>
    <x v="3"/>
    <x v="1"/>
    <s v="Lost my job, need more time"/>
    <n v="0"/>
    <s v="On Time"/>
  </r>
  <r>
    <s v="CUST_0018"/>
    <x v="0"/>
    <x v="0"/>
    <n v="97454"/>
    <n v="13900"/>
    <d v="2025-10-12T00:00:00"/>
    <d v="2025-10-19T00:00:00"/>
    <n v="7"/>
    <x v="3"/>
    <x v="1"/>
    <s v="Will pay next week"/>
    <n v="1"/>
    <s v="Delayed"/>
  </r>
  <r>
    <s v="CUST_0019"/>
    <x v="0"/>
    <x v="2"/>
    <n v="47935"/>
    <n v="2100"/>
    <d v="2025-10-19T00:00:00"/>
    <d v="2025-10-19T00:00:00"/>
    <n v="0"/>
    <x v="0"/>
    <x v="1"/>
    <s v="Lost my job, need more time"/>
    <n v="0"/>
    <s v="On Time"/>
  </r>
  <r>
    <s v="CUST_0020"/>
    <x v="0"/>
    <x v="1"/>
    <n v="57641"/>
    <n v="4800"/>
    <d v="2025-10-14T00:00:00"/>
    <d v="2025-12-13T00:00:00"/>
    <n v="60"/>
    <x v="2"/>
    <x v="1"/>
    <s v="Need settlement offer"/>
    <n v="1"/>
    <s v="Delayed"/>
  </r>
  <r>
    <s v="CUST_0021"/>
    <x v="0"/>
    <x v="0"/>
    <n v="49711"/>
    <n v="2500"/>
    <d v="2025-10-17T00:00:00"/>
    <d v="2025-10-17T00:00:00"/>
    <n v="0"/>
    <x v="2"/>
    <x v="1"/>
    <s v="No response"/>
    <n v="0"/>
    <s v="On Time"/>
  </r>
  <r>
    <s v="CUST_0022"/>
    <x v="2"/>
    <x v="1"/>
    <n v="90342"/>
    <n v="5600"/>
    <d v="2025-10-24T00:00:00"/>
    <d v="2025-10-24T00:00:00"/>
    <n v="0"/>
    <x v="3"/>
    <x v="1"/>
    <s v="Lost my job, need more time"/>
    <n v="0"/>
    <s v="On Time"/>
  </r>
  <r>
    <s v="CUST_0023"/>
    <x v="0"/>
    <x v="2"/>
    <n v="32182"/>
    <n v="1400"/>
    <d v="2025-10-21T00:00:00"/>
    <d v="2025-10-28T00:00:00"/>
    <n v="7"/>
    <x v="2"/>
    <x v="1"/>
    <s v="Lost my job, need more time"/>
    <n v="1"/>
    <s v="Delayed"/>
  </r>
  <r>
    <s v="CUST_0024"/>
    <x v="0"/>
    <x v="0"/>
    <n v="76276"/>
    <n v="4500"/>
    <d v="2025-10-03T00:00:00"/>
    <d v="2025-10-03T00:00:00"/>
    <n v="0"/>
    <x v="2"/>
    <x v="0"/>
    <s v="Paid already"/>
    <n v="0"/>
    <s v="On Time"/>
  </r>
  <r>
    <s v="CUST_0025"/>
    <x v="0"/>
    <x v="0"/>
    <n v="39541"/>
    <n v="3600"/>
    <d v="2025-10-26T00:00:00"/>
    <d v="2025-12-25T00:00:00"/>
    <n v="60"/>
    <x v="2"/>
    <x v="0"/>
    <s v="No response"/>
    <n v="1"/>
    <s v="Delayed"/>
  </r>
  <r>
    <s v="CUST_0026"/>
    <x v="1"/>
    <x v="1"/>
    <n v="64813"/>
    <n v="3600"/>
    <d v="2025-10-30T00:00:00"/>
    <d v="2025-12-14T00:00:00"/>
    <n v="45"/>
    <x v="3"/>
    <x v="1"/>
    <s v="No response"/>
    <n v="1"/>
    <s v="Delayed"/>
  </r>
  <r>
    <s v="CUST_0027"/>
    <x v="2"/>
    <x v="1"/>
    <n v="57198"/>
    <n v="2700"/>
    <d v="2025-10-23T00:00:00"/>
    <d v="2025-10-26T00:00:00"/>
    <n v="3"/>
    <x v="0"/>
    <x v="1"/>
    <s v="Will clear dues soon"/>
    <n v="1"/>
    <s v="Delayed"/>
  </r>
  <r>
    <s v="CUST_0028"/>
    <x v="0"/>
    <x v="1"/>
    <n v="28820"/>
    <n v="1300"/>
    <d v="2025-10-07T00:00:00"/>
    <d v="2025-10-07T00:00:00"/>
    <n v="0"/>
    <x v="2"/>
    <x v="1"/>
    <s v="Cannot pay right now"/>
    <n v="0"/>
    <s v="On Time"/>
  </r>
  <r>
    <s v="CUST_0029"/>
    <x v="0"/>
    <x v="1"/>
    <n v="44070"/>
    <n v="2900"/>
    <d v="2025-10-17T00:00:00"/>
    <d v="2025-10-20T00:00:00"/>
    <n v="3"/>
    <x v="2"/>
    <x v="1"/>
    <s v="Need settlement offer"/>
    <n v="1"/>
    <s v="Delayed"/>
  </r>
  <r>
    <s v="CUST_0030"/>
    <x v="2"/>
    <x v="0"/>
    <n v="89768"/>
    <n v="6900"/>
    <d v="2025-10-12T00:00:00"/>
    <d v="2025-10-12T00:00:00"/>
    <n v="0"/>
    <x v="3"/>
    <x v="0"/>
    <s v="Need settlement offer"/>
    <n v="0"/>
    <s v="On Time"/>
  </r>
  <r>
    <s v="CUST_0031"/>
    <x v="0"/>
    <x v="0"/>
    <n v="31122"/>
    <n v="1400"/>
    <d v="2025-10-09T00:00:00"/>
    <d v="2025-10-09T00:00:00"/>
    <n v="0"/>
    <x v="1"/>
    <x v="1"/>
    <s v="No response"/>
    <n v="0"/>
    <s v="On Time"/>
  </r>
  <r>
    <s v="CUST_0032"/>
    <x v="2"/>
    <x v="2"/>
    <n v="93543"/>
    <n v="15600"/>
    <d v="2025-10-15T00:00:00"/>
    <d v="2025-10-30T00:00:00"/>
    <n v="15"/>
    <x v="2"/>
    <x v="1"/>
    <s v="Cannot pay right now"/>
    <n v="1"/>
    <s v="Delayed"/>
  </r>
  <r>
    <s v="CUST_0033"/>
    <x v="2"/>
    <x v="2"/>
    <n v="61786"/>
    <n v="4800"/>
    <d v="2025-10-18T00:00:00"/>
    <d v="2025-10-18T00:00:00"/>
    <n v="0"/>
    <x v="2"/>
    <x v="0"/>
    <s v="Will clear dues soon"/>
    <n v="0"/>
    <s v="On Time"/>
  </r>
  <r>
    <s v="CUST_0034"/>
    <x v="1"/>
    <x v="0"/>
    <n v="26737"/>
    <n v="2400"/>
    <d v="2025-10-21T00:00:00"/>
    <d v="2025-10-21T00:00:00"/>
    <n v="0"/>
    <x v="3"/>
    <x v="1"/>
    <s v="No response"/>
    <n v="0"/>
    <s v="On Time"/>
  </r>
  <r>
    <s v="CUST_0035"/>
    <x v="1"/>
    <x v="0"/>
    <n v="56062"/>
    <n v="5600"/>
    <d v="2025-10-13T00:00:00"/>
    <d v="2025-11-27T00:00:00"/>
    <n v="45"/>
    <x v="0"/>
    <x v="0"/>
    <s v="Will pay tomorrow"/>
    <n v="1"/>
    <s v="Delayed"/>
  </r>
  <r>
    <s v="CUST_0036"/>
    <x v="1"/>
    <x v="2"/>
    <n v="74237"/>
    <n v="3700"/>
    <d v="2025-10-30T00:00:00"/>
    <d v="2025-10-30T00:00:00"/>
    <n v="0"/>
    <x v="3"/>
    <x v="1"/>
    <s v="Paid already"/>
    <n v="0"/>
    <s v="On Time"/>
  </r>
  <r>
    <s v="CUST_0037"/>
    <x v="0"/>
    <x v="0"/>
    <n v="71571"/>
    <n v="3600"/>
    <d v="2025-10-21T00:00:00"/>
    <d v="2025-10-21T00:00:00"/>
    <n v="0"/>
    <x v="1"/>
    <x v="1"/>
    <s v="Will clear dues soon"/>
    <n v="0"/>
    <s v="On Time"/>
  </r>
  <r>
    <s v="CUST_0038"/>
    <x v="2"/>
    <x v="1"/>
    <n v="45510"/>
    <n v="6500"/>
    <d v="2025-10-30T00:00:00"/>
    <d v="2025-11-29T00:00:00"/>
    <n v="30"/>
    <x v="2"/>
    <x v="1"/>
    <s v="Cannot pay right now"/>
    <n v="1"/>
    <s v="Delayed"/>
  </r>
  <r>
    <s v="CUST_0039"/>
    <x v="0"/>
    <x v="1"/>
    <n v="39426"/>
    <n v="6600"/>
    <d v="2025-10-08T00:00:00"/>
    <d v="2025-10-08T00:00:00"/>
    <n v="0"/>
    <x v="3"/>
    <x v="1"/>
    <s v="Paid already"/>
    <n v="0"/>
    <s v="On Time"/>
  </r>
  <r>
    <s v="CUST_0040"/>
    <x v="0"/>
    <x v="1"/>
    <n v="57265"/>
    <n v="3600"/>
    <d v="2025-10-14T00:00:00"/>
    <d v="2025-10-21T00:00:00"/>
    <n v="7"/>
    <x v="1"/>
    <x v="1"/>
    <s v="Cannot pay right now"/>
    <n v="1"/>
    <s v="Delayed"/>
  </r>
  <r>
    <s v="CUST_0041"/>
    <x v="2"/>
    <x v="2"/>
    <n v="37850"/>
    <n v="2500"/>
    <d v="2025-10-08T00:00:00"/>
    <d v="2025-12-07T00:00:00"/>
    <n v="60"/>
    <x v="3"/>
    <x v="1"/>
    <s v="Please stop calling"/>
    <n v="1"/>
    <s v="Delayed"/>
  </r>
  <r>
    <s v="CUST_0042"/>
    <x v="0"/>
    <x v="0"/>
    <n v="86150"/>
    <n v="3700"/>
    <d v="2025-10-14T00:00:00"/>
    <d v="2025-11-13T00:00:00"/>
    <n v="30"/>
    <x v="0"/>
    <x v="0"/>
    <s v="Please stop calling"/>
    <n v="1"/>
    <s v="Delayed"/>
  </r>
  <r>
    <s v="CUST_0043"/>
    <x v="2"/>
    <x v="1"/>
    <n v="94910"/>
    <n v="4100"/>
    <d v="2025-10-07T00:00:00"/>
    <d v="2025-10-10T00:00:00"/>
    <n v="3"/>
    <x v="0"/>
    <x v="1"/>
    <s v="Dispute on EMI amount"/>
    <n v="1"/>
    <s v="Delayed"/>
  </r>
  <r>
    <s v="CUST_0044"/>
    <x v="1"/>
    <x v="0"/>
    <n v="72375"/>
    <n v="3300"/>
    <d v="2025-10-23T00:00:00"/>
    <d v="2025-10-23T00:00:00"/>
    <n v="0"/>
    <x v="0"/>
    <x v="1"/>
    <s v="Please stop calling"/>
    <n v="0"/>
    <s v="On Time"/>
  </r>
  <r>
    <s v="CUST_0045"/>
    <x v="0"/>
    <x v="0"/>
    <n v="55435"/>
    <n v="4300"/>
    <d v="2025-10-12T00:00:00"/>
    <d v="2025-10-12T00:00:00"/>
    <n v="0"/>
    <x v="3"/>
    <x v="1"/>
    <s v="Need settlement offer"/>
    <n v="0"/>
    <s v="On Time"/>
  </r>
  <r>
    <s v="CUST_0046"/>
    <x v="0"/>
    <x v="1"/>
    <n v="77132"/>
    <n v="3900"/>
    <d v="2025-10-11T00:00:00"/>
    <d v="2025-10-26T00:00:00"/>
    <n v="15"/>
    <x v="1"/>
    <x v="1"/>
    <s v="Cannot pay right now"/>
    <n v="1"/>
    <s v="Delayed"/>
  </r>
  <r>
    <s v="CUST_0047"/>
    <x v="0"/>
    <x v="1"/>
    <n v="98945"/>
    <n v="7600"/>
    <d v="2025-10-22T00:00:00"/>
    <d v="2025-11-21T00:00:00"/>
    <n v="30"/>
    <x v="2"/>
    <x v="0"/>
    <s v="Dispute on EMI amount"/>
    <n v="1"/>
    <s v="Delayed"/>
  </r>
  <r>
    <s v="CUST_0048"/>
    <x v="0"/>
    <x v="0"/>
    <n v="22983"/>
    <n v="1000"/>
    <d v="2025-10-22T00:00:00"/>
    <d v="2025-10-22T00:00:00"/>
    <n v="0"/>
    <x v="0"/>
    <x v="1"/>
    <s v="Dispute on EMI amount"/>
    <n v="0"/>
    <s v="On Time"/>
  </r>
  <r>
    <s v="CUST_0049"/>
    <x v="0"/>
    <x v="0"/>
    <n v="40662"/>
    <n v="2400"/>
    <d v="2025-10-11T00:00:00"/>
    <d v="2025-10-11T00:00:00"/>
    <n v="0"/>
    <x v="1"/>
    <x v="1"/>
    <s v="Cannot pay right now"/>
    <n v="0"/>
    <s v="On Time"/>
  </r>
  <r>
    <s v="CUST_0050"/>
    <x v="2"/>
    <x v="0"/>
    <n v="43510"/>
    <n v="3300"/>
    <d v="2025-10-25T00:00:00"/>
    <d v="2025-10-25T00:00:00"/>
    <n v="0"/>
    <x v="1"/>
    <x v="0"/>
    <s v="Will pay tomorrow"/>
    <n v="0"/>
    <s v="On Time"/>
  </r>
  <r>
    <s v="CUST_0051"/>
    <x v="1"/>
    <x v="0"/>
    <n v="98187"/>
    <n v="5200"/>
    <d v="2025-10-22T00:00:00"/>
    <d v="2025-10-22T00:00:00"/>
    <n v="0"/>
    <x v="2"/>
    <x v="1"/>
    <s v="Will pay tomorrow"/>
    <n v="0"/>
    <s v="On Time"/>
  </r>
  <r>
    <s v="CUST_0052"/>
    <x v="1"/>
    <x v="0"/>
    <n v="60998"/>
    <n v="6800"/>
    <d v="2025-10-28T00:00:00"/>
    <d v="2025-11-04T00:00:00"/>
    <n v="7"/>
    <x v="2"/>
    <x v="0"/>
    <s v="Need settlement offer"/>
    <n v="1"/>
    <s v="Delayed"/>
  </r>
  <r>
    <s v="CUST_0053"/>
    <x v="1"/>
    <x v="0"/>
    <n v="76846"/>
    <n v="12800"/>
    <d v="2025-10-29T00:00:00"/>
    <d v="2025-10-29T00:00:00"/>
    <n v="0"/>
    <x v="3"/>
    <x v="1"/>
    <s v="Please stop calling"/>
    <n v="0"/>
    <s v="On Time"/>
  </r>
  <r>
    <s v="CUST_0054"/>
    <x v="1"/>
    <x v="0"/>
    <n v="26640"/>
    <n v="4400"/>
    <d v="2025-10-13T00:00:00"/>
    <d v="2025-11-12T00:00:00"/>
    <n v="30"/>
    <x v="1"/>
    <x v="1"/>
    <s v="Will pay tomorrow"/>
    <n v="1"/>
    <s v="Delayed"/>
  </r>
  <r>
    <s v="CUST_0055"/>
    <x v="0"/>
    <x v="0"/>
    <n v="64547"/>
    <n v="3100"/>
    <d v="2025-10-18T00:00:00"/>
    <d v="2025-10-25T00:00:00"/>
    <n v="7"/>
    <x v="2"/>
    <x v="1"/>
    <s v="Will pay next week"/>
    <n v="1"/>
    <s v="Delayed"/>
  </r>
  <r>
    <s v="CUST_0056"/>
    <x v="1"/>
    <x v="1"/>
    <n v="74620"/>
    <n v="3900"/>
    <d v="2025-10-02T00:00:00"/>
    <d v="2025-10-02T00:00:00"/>
    <n v="0"/>
    <x v="2"/>
    <x v="1"/>
    <s v="Will pay next week"/>
    <n v="0"/>
    <s v="On Time"/>
  </r>
  <r>
    <s v="CUST_0057"/>
    <x v="2"/>
    <x v="1"/>
    <n v="35317"/>
    <n v="1700"/>
    <d v="2025-10-29T00:00:00"/>
    <d v="2025-11-01T00:00:00"/>
    <n v="3"/>
    <x v="1"/>
    <x v="1"/>
    <s v="Dispute on EMI amount"/>
    <n v="1"/>
    <s v="Delayed"/>
  </r>
  <r>
    <s v="CUST_0058"/>
    <x v="2"/>
    <x v="1"/>
    <n v="27564"/>
    <n v="2800"/>
    <d v="2025-10-21T00:00:00"/>
    <d v="2025-10-21T00:00:00"/>
    <n v="0"/>
    <x v="2"/>
    <x v="1"/>
    <s v="No response"/>
    <n v="0"/>
    <s v="On Time"/>
  </r>
  <r>
    <s v="CUST_0059"/>
    <x v="2"/>
    <x v="0"/>
    <n v="47345"/>
    <n v="3400"/>
    <d v="2025-10-15T00:00:00"/>
    <d v="2025-10-18T00:00:00"/>
    <n v="3"/>
    <x v="3"/>
    <x v="1"/>
    <s v="Paid already"/>
    <n v="1"/>
    <s v="Delayed"/>
  </r>
  <r>
    <s v="CUST_0060"/>
    <x v="0"/>
    <x v="0"/>
    <n v="99273"/>
    <n v="14200"/>
    <d v="2025-10-20T00:00:00"/>
    <d v="2025-10-27T00:00:00"/>
    <n v="7"/>
    <x v="2"/>
    <x v="1"/>
    <s v="Cannot pay right now"/>
    <n v="1"/>
    <s v="Delayed"/>
  </r>
  <r>
    <s v="CUST_0061"/>
    <x v="0"/>
    <x v="0"/>
    <n v="94859"/>
    <n v="4100"/>
    <d v="2025-10-27T00:00:00"/>
    <d v="2025-11-11T00:00:00"/>
    <n v="15"/>
    <x v="2"/>
    <x v="1"/>
    <s v="Will pay next week"/>
    <n v="1"/>
    <s v="Delayed"/>
  </r>
  <r>
    <s v="CUST_0062"/>
    <x v="0"/>
    <x v="1"/>
    <n v="94038"/>
    <n v="8500"/>
    <d v="2025-10-18T00:00:00"/>
    <d v="2025-11-02T00:00:00"/>
    <n v="15"/>
    <x v="2"/>
    <x v="0"/>
    <s v="Please stop calling"/>
    <n v="1"/>
    <s v="Delayed"/>
  </r>
  <r>
    <s v="CUST_0063"/>
    <x v="1"/>
    <x v="1"/>
    <n v="72393"/>
    <n v="5200"/>
    <d v="2025-10-15T00:00:00"/>
    <d v="2025-10-15T00:00:00"/>
    <n v="0"/>
    <x v="3"/>
    <x v="1"/>
    <s v="Paid already"/>
    <n v="0"/>
    <s v="On Time"/>
  </r>
  <r>
    <s v="CUST_0064"/>
    <x v="0"/>
    <x v="1"/>
    <n v="86081"/>
    <n v="14300"/>
    <d v="2025-10-19T00:00:00"/>
    <d v="2025-10-19T00:00:00"/>
    <n v="0"/>
    <x v="3"/>
    <x v="1"/>
    <s v="Lost my job, need more time"/>
    <n v="0"/>
    <s v="On Time"/>
  </r>
  <r>
    <s v="CUST_0065"/>
    <x v="0"/>
    <x v="1"/>
    <n v="49430"/>
    <n v="3500"/>
    <d v="2025-10-23T00:00:00"/>
    <d v="2025-10-30T00:00:00"/>
    <n v="7"/>
    <x v="3"/>
    <x v="0"/>
    <s v="Please stop calling"/>
    <n v="1"/>
    <s v="Delayed"/>
  </r>
  <r>
    <s v="CUST_0066"/>
    <x v="0"/>
    <x v="0"/>
    <n v="95532"/>
    <n v="4500"/>
    <d v="2025-10-24T00:00:00"/>
    <d v="2025-10-24T00:00:00"/>
    <n v="0"/>
    <x v="1"/>
    <x v="1"/>
    <s v="Dispute on EMI amount"/>
    <n v="0"/>
    <s v="On Time"/>
  </r>
  <r>
    <s v="CUST_0067"/>
    <x v="2"/>
    <x v="1"/>
    <n v="47788"/>
    <n v="2700"/>
    <d v="2025-10-12T00:00:00"/>
    <d v="2025-10-12T00:00:00"/>
    <n v="0"/>
    <x v="3"/>
    <x v="1"/>
    <s v="Cannot pay right now"/>
    <n v="0"/>
    <s v="On Time"/>
  </r>
  <r>
    <s v="CUST_0068"/>
    <x v="1"/>
    <x v="1"/>
    <n v="68543"/>
    <n v="4900"/>
    <d v="2025-10-13T00:00:00"/>
    <d v="2025-10-13T00:00:00"/>
    <n v="0"/>
    <x v="2"/>
    <x v="0"/>
    <s v="Will clear dues soon"/>
    <n v="0"/>
    <s v="On Time"/>
  </r>
  <r>
    <s v="CUST_0069"/>
    <x v="2"/>
    <x v="2"/>
    <n v="33919"/>
    <n v="1900"/>
    <d v="2025-10-22T00:00:00"/>
    <d v="2025-10-25T00:00:00"/>
    <n v="3"/>
    <x v="0"/>
    <x v="1"/>
    <s v="Will pay next week"/>
    <n v="1"/>
    <s v="Delayed"/>
  </r>
  <r>
    <s v="CUST_0070"/>
    <x v="1"/>
    <x v="1"/>
    <n v="89346"/>
    <n v="6400"/>
    <d v="2025-10-11T00:00:00"/>
    <d v="2025-10-11T00:00:00"/>
    <n v="0"/>
    <x v="3"/>
    <x v="1"/>
    <s v="Will pay tomorrow"/>
    <n v="0"/>
    <s v="On Time"/>
  </r>
  <r>
    <s v="CUST_0071"/>
    <x v="1"/>
    <x v="0"/>
    <n v="59974"/>
    <n v="3700"/>
    <d v="2025-10-05T00:00:00"/>
    <d v="2025-10-08T00:00:00"/>
    <n v="3"/>
    <x v="2"/>
    <x v="1"/>
    <s v="Need settlement offer"/>
    <n v="1"/>
    <s v="Delayed"/>
  </r>
  <r>
    <s v="CUST_0072"/>
    <x v="2"/>
    <x v="0"/>
    <n v="36371"/>
    <n v="4000"/>
    <d v="2025-10-29T00:00:00"/>
    <d v="2025-12-28T00:00:00"/>
    <n v="60"/>
    <x v="1"/>
    <x v="0"/>
    <s v="Need settlement offer"/>
    <n v="1"/>
    <s v="Delayed"/>
  </r>
  <r>
    <s v="CUST_0073"/>
    <x v="2"/>
    <x v="1"/>
    <n v="65084"/>
    <n v="9300"/>
    <d v="2025-10-01T00:00:00"/>
    <d v="2025-10-01T00:00:00"/>
    <n v="0"/>
    <x v="0"/>
    <x v="0"/>
    <s v="Cannot pay right now"/>
    <n v="0"/>
    <s v="On Time"/>
  </r>
  <r>
    <s v="CUST_0074"/>
    <x v="1"/>
    <x v="0"/>
    <n v="49629"/>
    <n v="4500"/>
    <d v="2025-10-24T00:00:00"/>
    <d v="2025-10-24T00:00:00"/>
    <n v="0"/>
    <x v="1"/>
    <x v="1"/>
    <s v="Will pay next week"/>
    <n v="0"/>
    <s v="On Time"/>
  </r>
  <r>
    <s v="CUST_0075"/>
    <x v="1"/>
    <x v="0"/>
    <n v="71184"/>
    <n v="3700"/>
    <d v="2025-10-03T00:00:00"/>
    <d v="2025-10-03T00:00:00"/>
    <n v="0"/>
    <x v="1"/>
    <x v="1"/>
    <s v="Will pay next week"/>
    <n v="0"/>
    <s v="On Time"/>
  </r>
  <r>
    <s v="CUST_0076"/>
    <x v="1"/>
    <x v="2"/>
    <n v="81916"/>
    <n v="9100"/>
    <d v="2025-10-22T00:00:00"/>
    <d v="2025-11-06T00:00:00"/>
    <n v="15"/>
    <x v="1"/>
    <x v="1"/>
    <s v="Please stop calling"/>
    <n v="1"/>
    <s v="Delayed"/>
  </r>
  <r>
    <s v="CUST_0077"/>
    <x v="1"/>
    <x v="1"/>
    <n v="93972"/>
    <n v="8500"/>
    <d v="2025-10-19T00:00:00"/>
    <d v="2025-10-19T00:00:00"/>
    <n v="0"/>
    <x v="2"/>
    <x v="1"/>
    <s v="Need settlement offer"/>
    <n v="0"/>
    <s v="On Time"/>
  </r>
  <r>
    <s v="CUST_0078"/>
    <x v="2"/>
    <x v="2"/>
    <n v="82187"/>
    <n v="7500"/>
    <d v="2025-10-23T00:00:00"/>
    <d v="2025-10-23T00:00:00"/>
    <n v="0"/>
    <x v="1"/>
    <x v="0"/>
    <s v="Please stop calling"/>
    <n v="0"/>
    <s v="On Time"/>
  </r>
  <r>
    <s v="CUST_0079"/>
    <x v="0"/>
    <x v="1"/>
    <n v="32984"/>
    <n v="4700"/>
    <d v="2025-10-29T00:00:00"/>
    <d v="2025-10-29T00:00:00"/>
    <n v="0"/>
    <x v="3"/>
    <x v="1"/>
    <s v="Will clear dues soon"/>
    <n v="0"/>
    <s v="On Time"/>
  </r>
  <r>
    <s v="CUST_0080"/>
    <x v="2"/>
    <x v="1"/>
    <n v="53039"/>
    <n v="2300"/>
    <d v="2025-10-30T00:00:00"/>
    <d v="2025-11-06T00:00:00"/>
    <n v="7"/>
    <x v="0"/>
    <x v="0"/>
    <s v="Lost my job, need more time"/>
    <n v="1"/>
    <s v="Delayed"/>
  </r>
  <r>
    <s v="CUST_0081"/>
    <x v="1"/>
    <x v="1"/>
    <n v="78606"/>
    <n v="4400"/>
    <d v="2025-10-07T00:00:00"/>
    <d v="2025-10-07T00:00:00"/>
    <n v="0"/>
    <x v="2"/>
    <x v="1"/>
    <s v="Will pay next week"/>
    <n v="0"/>
    <s v="On Time"/>
  </r>
  <r>
    <s v="CUST_0082"/>
    <x v="0"/>
    <x v="2"/>
    <n v="30616"/>
    <n v="2200"/>
    <d v="2025-10-12T00:00:00"/>
    <d v="2025-10-19T00:00:00"/>
    <n v="7"/>
    <x v="2"/>
    <x v="1"/>
    <s v="Will clear dues soon"/>
    <n v="1"/>
    <s v="Delayed"/>
  </r>
  <r>
    <s v="CUST_0083"/>
    <x v="0"/>
    <x v="1"/>
    <n v="70072"/>
    <n v="3900"/>
    <d v="2025-10-15T00:00:00"/>
    <d v="2025-11-14T00:00:00"/>
    <n v="30"/>
    <x v="3"/>
    <x v="1"/>
    <s v="Please stop calling"/>
    <n v="1"/>
    <s v="Delayed"/>
  </r>
  <r>
    <s v="CUST_0084"/>
    <x v="2"/>
    <x v="1"/>
    <n v="44574"/>
    <n v="2800"/>
    <d v="2025-10-25T00:00:00"/>
    <d v="2025-10-25T00:00:00"/>
    <n v="0"/>
    <x v="1"/>
    <x v="1"/>
    <s v="Paid already"/>
    <n v="0"/>
    <s v="On Time"/>
  </r>
  <r>
    <s v="CUST_0085"/>
    <x v="0"/>
    <x v="0"/>
    <n v="23430"/>
    <n v="3900"/>
    <d v="2025-10-05T00:00:00"/>
    <d v="2025-10-20T00:00:00"/>
    <n v="15"/>
    <x v="3"/>
    <x v="0"/>
    <s v="Will pay tomorrow"/>
    <n v="1"/>
    <s v="Delayed"/>
  </r>
  <r>
    <s v="CUST_0086"/>
    <x v="0"/>
    <x v="1"/>
    <n v="32676"/>
    <n v="2700"/>
    <d v="2025-10-15T00:00:00"/>
    <d v="2025-10-15T00:00:00"/>
    <n v="0"/>
    <x v="0"/>
    <x v="1"/>
    <s v="Will pay next week"/>
    <n v="0"/>
    <s v="On Time"/>
  </r>
  <r>
    <s v="CUST_0087"/>
    <x v="1"/>
    <x v="1"/>
    <n v="30816"/>
    <n v="1500"/>
    <d v="2025-10-08T00:00:00"/>
    <d v="2025-11-07T00:00:00"/>
    <n v="30"/>
    <x v="1"/>
    <x v="1"/>
    <s v="Will clear dues soon"/>
    <n v="1"/>
    <s v="Delayed"/>
  </r>
  <r>
    <s v="CUST_0088"/>
    <x v="0"/>
    <x v="1"/>
    <n v="52733"/>
    <n v="8800"/>
    <d v="2025-10-10T00:00:00"/>
    <d v="2025-10-13T00:00:00"/>
    <n v="3"/>
    <x v="3"/>
    <x v="1"/>
    <s v="No response"/>
    <n v="1"/>
    <s v="Delayed"/>
  </r>
  <r>
    <s v="CUST_0089"/>
    <x v="1"/>
    <x v="1"/>
    <n v="22050"/>
    <n v="1300"/>
    <d v="2025-10-26T00:00:00"/>
    <d v="2025-11-25T00:00:00"/>
    <n v="30"/>
    <x v="1"/>
    <x v="1"/>
    <s v="Will pay next week"/>
    <n v="1"/>
    <s v="Delayed"/>
  </r>
  <r>
    <s v="CUST_0090"/>
    <x v="0"/>
    <x v="1"/>
    <n v="53933"/>
    <n v="4500"/>
    <d v="2025-10-16T00:00:00"/>
    <d v="2025-10-16T00:00:00"/>
    <n v="0"/>
    <x v="1"/>
    <x v="1"/>
    <s v="Paid already"/>
    <n v="0"/>
    <s v="On Time"/>
  </r>
  <r>
    <s v="CUST_0091"/>
    <x v="2"/>
    <x v="1"/>
    <n v="44951"/>
    <n v="2200"/>
    <d v="2025-10-08T00:00:00"/>
    <d v="2025-10-08T00:00:00"/>
    <n v="0"/>
    <x v="1"/>
    <x v="1"/>
    <s v="Dispute on EMI amount"/>
    <n v="0"/>
    <s v="On Time"/>
  </r>
  <r>
    <s v="CUST_0092"/>
    <x v="1"/>
    <x v="0"/>
    <n v="52413"/>
    <n v="8700"/>
    <d v="2025-10-01T00:00:00"/>
    <d v="2025-10-01T00:00:00"/>
    <n v="0"/>
    <x v="2"/>
    <x v="0"/>
    <s v="Paid already"/>
    <n v="0"/>
    <s v="On Time"/>
  </r>
  <r>
    <s v="CUST_0093"/>
    <x v="1"/>
    <x v="1"/>
    <n v="54801"/>
    <n v="2500"/>
    <d v="2025-10-12T00:00:00"/>
    <d v="2025-10-12T00:00:00"/>
    <n v="0"/>
    <x v="3"/>
    <x v="1"/>
    <s v="Paid already"/>
    <n v="0"/>
    <s v="On Time"/>
  </r>
  <r>
    <s v="CUST_0094"/>
    <x v="0"/>
    <x v="1"/>
    <n v="75619"/>
    <n v="3400"/>
    <d v="2025-10-05T00:00:00"/>
    <d v="2025-10-05T00:00:00"/>
    <n v="0"/>
    <x v="3"/>
    <x v="1"/>
    <s v="Will pay next week"/>
    <n v="0"/>
    <s v="On Time"/>
  </r>
  <r>
    <s v="CUST_0095"/>
    <x v="1"/>
    <x v="0"/>
    <n v="52913"/>
    <n v="6600"/>
    <d v="2025-10-03T00:00:00"/>
    <d v="2025-10-03T00:00:00"/>
    <n v="0"/>
    <x v="3"/>
    <x v="1"/>
    <s v="Paid already"/>
    <n v="0"/>
    <s v="On Time"/>
  </r>
  <r>
    <s v="CUST_0096"/>
    <x v="0"/>
    <x v="1"/>
    <n v="60600"/>
    <n v="3600"/>
    <d v="2025-10-01T00:00:00"/>
    <d v="2025-10-01T00:00:00"/>
    <n v="0"/>
    <x v="0"/>
    <x v="1"/>
    <s v="Paid already"/>
    <n v="0"/>
    <s v="On Time"/>
  </r>
  <r>
    <s v="CUST_0097"/>
    <x v="0"/>
    <x v="0"/>
    <n v="77775"/>
    <n v="7100"/>
    <d v="2025-10-04T00:00:00"/>
    <d v="2025-10-04T00:00:00"/>
    <n v="0"/>
    <x v="3"/>
    <x v="0"/>
    <s v="Dispute on EMI amount"/>
    <n v="0"/>
    <s v="On Time"/>
  </r>
  <r>
    <s v="CUST_0098"/>
    <x v="0"/>
    <x v="1"/>
    <n v="55400"/>
    <n v="3500"/>
    <d v="2025-10-08T00:00:00"/>
    <d v="2025-10-23T00:00:00"/>
    <n v="15"/>
    <x v="1"/>
    <x v="0"/>
    <s v="Will pay tomorrow"/>
    <n v="1"/>
    <s v="Delayed"/>
  </r>
  <r>
    <s v="CUST_0099"/>
    <x v="2"/>
    <x v="1"/>
    <n v="24494"/>
    <n v="3100"/>
    <d v="2025-10-03T00:00:00"/>
    <d v="2025-10-03T00:00:00"/>
    <n v="0"/>
    <x v="3"/>
    <x v="1"/>
    <s v="Need settlement offer"/>
    <n v="0"/>
    <s v="On Time"/>
  </r>
  <r>
    <s v="CUST_0100"/>
    <x v="2"/>
    <x v="1"/>
    <n v="94691"/>
    <n v="7300"/>
    <d v="2025-10-10T00:00:00"/>
    <d v="2025-10-10T00:00:00"/>
    <n v="0"/>
    <x v="2"/>
    <x v="1"/>
    <s v="Need settlement offer"/>
    <n v="0"/>
    <s v="On Time"/>
  </r>
  <r>
    <s v="CUST_0101"/>
    <x v="2"/>
    <x v="1"/>
    <n v="63001"/>
    <n v="3300"/>
    <d v="2025-10-02T00:00:00"/>
    <d v="2025-10-02T00:00:00"/>
    <n v="0"/>
    <x v="1"/>
    <x v="0"/>
    <s v="Cannot pay right now"/>
    <n v="0"/>
    <s v="On Time"/>
  </r>
  <r>
    <s v="CUST_0102"/>
    <x v="0"/>
    <x v="1"/>
    <n v="87364"/>
    <n v="4600"/>
    <d v="2025-10-11T00:00:00"/>
    <d v="2025-10-11T00:00:00"/>
    <n v="0"/>
    <x v="0"/>
    <x v="1"/>
    <s v="No response"/>
    <n v="0"/>
    <s v="On Time"/>
  </r>
  <r>
    <s v="CUST_0103"/>
    <x v="0"/>
    <x v="1"/>
    <n v="65028"/>
    <n v="4300"/>
    <d v="2025-10-25T00:00:00"/>
    <d v="2025-12-09T00:00:00"/>
    <n v="45"/>
    <x v="3"/>
    <x v="1"/>
    <s v="No response"/>
    <n v="1"/>
    <s v="Delayed"/>
  </r>
  <r>
    <s v="CUST_0104"/>
    <x v="0"/>
    <x v="1"/>
    <n v="57573"/>
    <n v="8200"/>
    <d v="2025-10-10T00:00:00"/>
    <d v="2025-10-10T00:00:00"/>
    <n v="0"/>
    <x v="2"/>
    <x v="0"/>
    <s v="Cannot pay right now"/>
    <n v="0"/>
    <s v="On Time"/>
  </r>
  <r>
    <s v="CUST_0105"/>
    <x v="1"/>
    <x v="1"/>
    <n v="20806"/>
    <n v="1100"/>
    <d v="2025-10-21T00:00:00"/>
    <d v="2025-10-28T00:00:00"/>
    <n v="7"/>
    <x v="2"/>
    <x v="1"/>
    <s v="Will pay tomorrow"/>
    <n v="1"/>
    <s v="Delayed"/>
  </r>
  <r>
    <s v="CUST_0106"/>
    <x v="0"/>
    <x v="1"/>
    <n v="76638"/>
    <n v="5500"/>
    <d v="2025-10-14T00:00:00"/>
    <d v="2025-11-28T00:00:00"/>
    <n v="45"/>
    <x v="3"/>
    <x v="1"/>
    <s v="Need settlement offer"/>
    <n v="1"/>
    <s v="Delayed"/>
  </r>
  <r>
    <s v="CUST_0107"/>
    <x v="0"/>
    <x v="1"/>
    <n v="49757"/>
    <n v="6200"/>
    <d v="2025-10-07T00:00:00"/>
    <d v="2025-10-22T00:00:00"/>
    <n v="15"/>
    <x v="3"/>
    <x v="1"/>
    <s v="Please stop calling"/>
    <n v="1"/>
    <s v="Delayed"/>
  </r>
  <r>
    <s v="CUST_0108"/>
    <x v="1"/>
    <x v="1"/>
    <n v="54636"/>
    <n v="4200"/>
    <d v="2025-10-27T00:00:00"/>
    <d v="2025-10-30T00:00:00"/>
    <n v="3"/>
    <x v="2"/>
    <x v="1"/>
    <s v="Lost my job, need more time"/>
    <n v="1"/>
    <s v="Delayed"/>
  </r>
  <r>
    <s v="CUST_0109"/>
    <x v="0"/>
    <x v="0"/>
    <n v="68280"/>
    <n v="3300"/>
    <d v="2025-10-27T00:00:00"/>
    <d v="2025-11-11T00:00:00"/>
    <n v="15"/>
    <x v="2"/>
    <x v="0"/>
    <s v="Will pay tomorrow"/>
    <n v="1"/>
    <s v="Delayed"/>
  </r>
  <r>
    <s v="CUST_0110"/>
    <x v="2"/>
    <x v="0"/>
    <n v="44262"/>
    <n v="6300"/>
    <d v="2025-10-02T00:00:00"/>
    <d v="2025-12-01T00:00:00"/>
    <n v="60"/>
    <x v="1"/>
    <x v="1"/>
    <s v="Please stop calling"/>
    <n v="1"/>
    <s v="Delayed"/>
  </r>
  <r>
    <s v="CUST_0111"/>
    <x v="0"/>
    <x v="1"/>
    <n v="82211"/>
    <n v="7500"/>
    <d v="2025-10-09T00:00:00"/>
    <d v="2025-10-12T00:00:00"/>
    <n v="3"/>
    <x v="2"/>
    <x v="1"/>
    <s v="Cannot pay right now"/>
    <n v="1"/>
    <s v="Delayed"/>
  </r>
  <r>
    <s v="CUST_0112"/>
    <x v="2"/>
    <x v="0"/>
    <n v="74842"/>
    <n v="4400"/>
    <d v="2025-10-16T00:00:00"/>
    <d v="2025-10-19T00:00:00"/>
    <n v="3"/>
    <x v="2"/>
    <x v="1"/>
    <s v="Cannot pay right now"/>
    <n v="1"/>
    <s v="Delayed"/>
  </r>
  <r>
    <s v="CUST_0113"/>
    <x v="1"/>
    <x v="0"/>
    <n v="76979"/>
    <n v="7700"/>
    <d v="2025-10-13T00:00:00"/>
    <d v="2025-10-16T00:00:00"/>
    <n v="3"/>
    <x v="2"/>
    <x v="1"/>
    <s v="Will clear dues soon"/>
    <n v="1"/>
    <s v="Delayed"/>
  </r>
  <r>
    <s v="CUST_0114"/>
    <x v="1"/>
    <x v="1"/>
    <n v="58197"/>
    <n v="8300"/>
    <d v="2025-10-09T00:00:00"/>
    <d v="2025-10-09T00:00:00"/>
    <n v="0"/>
    <x v="1"/>
    <x v="1"/>
    <s v="Please stop calling"/>
    <n v="0"/>
    <s v="On Time"/>
  </r>
  <r>
    <s v="CUST_0115"/>
    <x v="0"/>
    <x v="0"/>
    <n v="61844"/>
    <n v="2900"/>
    <d v="2025-10-20T00:00:00"/>
    <d v="2025-10-23T00:00:00"/>
    <n v="3"/>
    <x v="0"/>
    <x v="1"/>
    <s v="Will pay next week"/>
    <n v="1"/>
    <s v="Delayed"/>
  </r>
  <r>
    <s v="CUST_0116"/>
    <x v="1"/>
    <x v="2"/>
    <n v="84754"/>
    <n v="8500"/>
    <d v="2025-10-04T00:00:00"/>
    <d v="2025-10-04T00:00:00"/>
    <n v="0"/>
    <x v="2"/>
    <x v="1"/>
    <s v="Need settlement offer"/>
    <n v="0"/>
    <s v="On Time"/>
  </r>
  <r>
    <s v="CUST_0117"/>
    <x v="1"/>
    <x v="1"/>
    <n v="54157"/>
    <n v="2700"/>
    <d v="2025-10-22T00:00:00"/>
    <d v="2025-10-22T00:00:00"/>
    <n v="0"/>
    <x v="1"/>
    <x v="1"/>
    <s v="Please stop calling"/>
    <n v="0"/>
    <s v="On Time"/>
  </r>
  <r>
    <s v="CUST_0118"/>
    <x v="2"/>
    <x v="1"/>
    <n v="97129"/>
    <n v="5700"/>
    <d v="2025-10-10T00:00:00"/>
    <d v="2025-10-10T00:00:00"/>
    <n v="0"/>
    <x v="3"/>
    <x v="1"/>
    <s v="Cannot pay right now"/>
    <n v="0"/>
    <s v="On Time"/>
  </r>
  <r>
    <s v="CUST_0119"/>
    <x v="1"/>
    <x v="0"/>
    <n v="60042"/>
    <n v="6700"/>
    <d v="2025-10-26T00:00:00"/>
    <d v="2025-10-26T00:00:00"/>
    <n v="0"/>
    <x v="2"/>
    <x v="1"/>
    <s v="Cannot pay right now"/>
    <n v="0"/>
    <s v="On Time"/>
  </r>
  <r>
    <s v="CUST_0120"/>
    <x v="0"/>
    <x v="0"/>
    <n v="81665"/>
    <n v="4100"/>
    <d v="2025-10-26T00:00:00"/>
    <d v="2025-10-26T00:00:00"/>
    <n v="0"/>
    <x v="3"/>
    <x v="1"/>
    <s v="Lost my job, need more time"/>
    <n v="0"/>
    <s v="On Time"/>
  </r>
  <r>
    <s v="CUST_0121"/>
    <x v="1"/>
    <x v="1"/>
    <n v="47376"/>
    <n v="3000"/>
    <d v="2025-10-22T00:00:00"/>
    <d v="2025-10-22T00:00:00"/>
    <n v="0"/>
    <x v="2"/>
    <x v="0"/>
    <s v="Dispute on EMI amount"/>
    <n v="0"/>
    <s v="On Time"/>
  </r>
  <r>
    <s v="CUST_0122"/>
    <x v="1"/>
    <x v="1"/>
    <n v="75554"/>
    <n v="3600"/>
    <d v="2025-10-12T00:00:00"/>
    <d v="2025-10-15T00:00:00"/>
    <n v="3"/>
    <x v="1"/>
    <x v="0"/>
    <s v="Will pay tomorrow"/>
    <n v="1"/>
    <s v="Delayed"/>
  </r>
  <r>
    <s v="CUST_0123"/>
    <x v="0"/>
    <x v="1"/>
    <n v="34199"/>
    <n v="3100"/>
    <d v="2025-10-17T00:00:00"/>
    <d v="2025-10-17T00:00:00"/>
    <n v="0"/>
    <x v="0"/>
    <x v="1"/>
    <s v="Will clear dues soon"/>
    <n v="0"/>
    <s v="On Time"/>
  </r>
  <r>
    <s v="CUST_0124"/>
    <x v="2"/>
    <x v="1"/>
    <n v="70948"/>
    <n v="3700"/>
    <d v="2025-10-14T00:00:00"/>
    <d v="2025-10-29T00:00:00"/>
    <n v="15"/>
    <x v="3"/>
    <x v="1"/>
    <s v="Cannot pay right now"/>
    <n v="1"/>
    <s v="Delayed"/>
  </r>
  <r>
    <s v="CUST_0125"/>
    <x v="0"/>
    <x v="0"/>
    <n v="93781"/>
    <n v="4100"/>
    <d v="2025-10-14T00:00:00"/>
    <d v="2025-10-14T00:00:00"/>
    <n v="0"/>
    <x v="1"/>
    <x v="1"/>
    <s v="Lost my job, need more time"/>
    <n v="0"/>
    <s v="On Time"/>
  </r>
  <r>
    <s v="CUST_0126"/>
    <x v="0"/>
    <x v="1"/>
    <n v="92750"/>
    <n v="5500"/>
    <d v="2025-10-25T00:00:00"/>
    <d v="2025-10-25T00:00:00"/>
    <n v="0"/>
    <x v="2"/>
    <x v="1"/>
    <s v="Dispute on EMI amount"/>
    <n v="0"/>
    <s v="On Time"/>
  </r>
  <r>
    <s v="CUST_0127"/>
    <x v="1"/>
    <x v="1"/>
    <n v="86262"/>
    <n v="5400"/>
    <d v="2025-10-02T00:00:00"/>
    <d v="2025-10-09T00:00:00"/>
    <n v="7"/>
    <x v="3"/>
    <x v="1"/>
    <s v="Will pay next week"/>
    <n v="1"/>
    <s v="Delayed"/>
  </r>
  <r>
    <s v="CUST_0128"/>
    <x v="1"/>
    <x v="0"/>
    <n v="66600"/>
    <n v="3700"/>
    <d v="2025-10-21T00:00:00"/>
    <d v="2025-10-24T00:00:00"/>
    <n v="3"/>
    <x v="3"/>
    <x v="0"/>
    <s v="Will pay tomorrow"/>
    <n v="1"/>
    <s v="Delayed"/>
  </r>
  <r>
    <s v="CUST_0129"/>
    <x v="2"/>
    <x v="1"/>
    <n v="96898"/>
    <n v="6100"/>
    <d v="2025-10-25T00:00:00"/>
    <d v="2025-10-25T00:00:00"/>
    <n v="0"/>
    <x v="3"/>
    <x v="1"/>
    <s v="No response"/>
    <n v="0"/>
    <s v="On Time"/>
  </r>
  <r>
    <s v="CUST_0130"/>
    <x v="0"/>
    <x v="1"/>
    <n v="82483"/>
    <n v="3900"/>
    <d v="2025-10-20T00:00:00"/>
    <d v="2025-11-19T00:00:00"/>
    <n v="30"/>
    <x v="3"/>
    <x v="1"/>
    <s v="Dispute on EMI amount"/>
    <n v="1"/>
    <s v="Delayed"/>
  </r>
  <r>
    <s v="CUST_0131"/>
    <x v="0"/>
    <x v="0"/>
    <n v="38297"/>
    <n v="1900"/>
    <d v="2025-10-11T00:00:00"/>
    <d v="2025-11-10T00:00:00"/>
    <n v="30"/>
    <x v="3"/>
    <x v="1"/>
    <s v="Please stop calling"/>
    <n v="1"/>
    <s v="Delayed"/>
  </r>
  <r>
    <s v="CUST_0132"/>
    <x v="0"/>
    <x v="0"/>
    <n v="50448"/>
    <n v="2500"/>
    <d v="2025-10-16T00:00:00"/>
    <d v="2025-10-16T00:00:00"/>
    <n v="0"/>
    <x v="3"/>
    <x v="0"/>
    <s v="No response"/>
    <n v="0"/>
    <s v="On Time"/>
  </r>
  <r>
    <s v="CUST_0133"/>
    <x v="2"/>
    <x v="0"/>
    <n v="46172"/>
    <n v="5100"/>
    <d v="2025-10-19T00:00:00"/>
    <d v="2025-10-19T00:00:00"/>
    <n v="0"/>
    <x v="3"/>
    <x v="1"/>
    <s v="Paid already"/>
    <n v="0"/>
    <s v="On Time"/>
  </r>
  <r>
    <s v="CUST_0134"/>
    <x v="0"/>
    <x v="0"/>
    <n v="62874"/>
    <n v="3900"/>
    <d v="2025-10-23T00:00:00"/>
    <d v="2025-12-22T00:00:00"/>
    <n v="60"/>
    <x v="1"/>
    <x v="1"/>
    <s v="Please stop calling"/>
    <n v="1"/>
    <s v="Delayed"/>
  </r>
  <r>
    <s v="CUST_0135"/>
    <x v="1"/>
    <x v="1"/>
    <n v="27657"/>
    <n v="1400"/>
    <d v="2025-10-06T00:00:00"/>
    <d v="2025-10-09T00:00:00"/>
    <n v="3"/>
    <x v="2"/>
    <x v="1"/>
    <s v="Please stop calling"/>
    <n v="1"/>
    <s v="Delayed"/>
  </r>
  <r>
    <s v="CUST_0136"/>
    <x v="0"/>
    <x v="1"/>
    <n v="45425"/>
    <n v="5000"/>
    <d v="2025-10-24T00:00:00"/>
    <d v="2025-10-24T00:00:00"/>
    <n v="0"/>
    <x v="0"/>
    <x v="1"/>
    <s v="Dispute on EMI amount"/>
    <n v="0"/>
    <s v="On Time"/>
  </r>
  <r>
    <s v="CUST_0137"/>
    <x v="0"/>
    <x v="0"/>
    <n v="46685"/>
    <n v="2600"/>
    <d v="2025-10-19T00:00:00"/>
    <d v="2025-11-03T00:00:00"/>
    <n v="15"/>
    <x v="2"/>
    <x v="1"/>
    <s v="Lost my job, need more time"/>
    <n v="1"/>
    <s v="Delayed"/>
  </r>
  <r>
    <s v="CUST_0138"/>
    <x v="1"/>
    <x v="1"/>
    <n v="44578"/>
    <n v="6400"/>
    <d v="2025-10-05T00:00:00"/>
    <d v="2025-10-05T00:00:00"/>
    <n v="0"/>
    <x v="1"/>
    <x v="0"/>
    <s v="Please stop calling"/>
    <n v="0"/>
    <s v="On Time"/>
  </r>
  <r>
    <s v="CUST_0139"/>
    <x v="0"/>
    <x v="1"/>
    <n v="48831"/>
    <n v="2600"/>
    <d v="2025-10-26T00:00:00"/>
    <d v="2025-10-26T00:00:00"/>
    <n v="0"/>
    <x v="0"/>
    <x v="1"/>
    <s v="Need settlement offer"/>
    <n v="0"/>
    <s v="On Time"/>
  </r>
  <r>
    <s v="CUST_0140"/>
    <x v="1"/>
    <x v="1"/>
    <n v="27906"/>
    <n v="3100"/>
    <d v="2025-10-04T00:00:00"/>
    <d v="2025-10-04T00:00:00"/>
    <n v="0"/>
    <x v="1"/>
    <x v="1"/>
    <s v="Lost my job, need more time"/>
    <n v="0"/>
    <s v="On Time"/>
  </r>
  <r>
    <s v="CUST_0141"/>
    <x v="1"/>
    <x v="1"/>
    <n v="81413"/>
    <n v="3900"/>
    <d v="2025-10-15T00:00:00"/>
    <d v="2025-10-22T00:00:00"/>
    <n v="7"/>
    <x v="2"/>
    <x v="1"/>
    <s v="Dispute on EMI amount"/>
    <n v="1"/>
    <s v="Delayed"/>
  </r>
  <r>
    <s v="CUST_0142"/>
    <x v="0"/>
    <x v="1"/>
    <n v="74028"/>
    <n v="3900"/>
    <d v="2025-10-29T00:00:00"/>
    <d v="2025-11-01T00:00:00"/>
    <n v="3"/>
    <x v="1"/>
    <x v="1"/>
    <s v="Please stop calling"/>
    <n v="1"/>
    <s v="Delayed"/>
  </r>
  <r>
    <s v="CUST_0143"/>
    <x v="0"/>
    <x v="1"/>
    <n v="27287"/>
    <n v="1400"/>
    <d v="2025-10-04T00:00:00"/>
    <d v="2025-10-07T00:00:00"/>
    <n v="3"/>
    <x v="3"/>
    <x v="1"/>
    <s v="Please stop calling"/>
    <n v="1"/>
    <s v="Delayed"/>
  </r>
  <r>
    <s v="CUST_0144"/>
    <x v="0"/>
    <x v="1"/>
    <n v="53660"/>
    <n v="6700"/>
    <d v="2025-10-20T00:00:00"/>
    <d v="2025-10-20T00:00:00"/>
    <n v="0"/>
    <x v="3"/>
    <x v="1"/>
    <s v="No response"/>
    <n v="0"/>
    <s v="On Time"/>
  </r>
  <r>
    <s v="CUST_0145"/>
    <x v="0"/>
    <x v="1"/>
    <n v="95758"/>
    <n v="7400"/>
    <d v="2025-10-10T00:00:00"/>
    <d v="2025-10-10T00:00:00"/>
    <n v="0"/>
    <x v="2"/>
    <x v="1"/>
    <s v="Will pay next week"/>
    <n v="0"/>
    <s v="On Time"/>
  </r>
  <r>
    <s v="CUST_0146"/>
    <x v="2"/>
    <x v="0"/>
    <n v="80504"/>
    <n v="3800"/>
    <d v="2025-10-24T00:00:00"/>
    <d v="2025-10-24T00:00:00"/>
    <n v="0"/>
    <x v="2"/>
    <x v="1"/>
    <s v="Paid already"/>
    <n v="0"/>
    <s v="On Time"/>
  </r>
  <r>
    <s v="CUST_0147"/>
    <x v="0"/>
    <x v="0"/>
    <n v="79720"/>
    <n v="5300"/>
    <d v="2025-10-22T00:00:00"/>
    <d v="2025-10-29T00:00:00"/>
    <n v="7"/>
    <x v="3"/>
    <x v="1"/>
    <s v="Lost my job, need more time"/>
    <n v="1"/>
    <s v="Delayed"/>
  </r>
  <r>
    <s v="CUST_0148"/>
    <x v="0"/>
    <x v="0"/>
    <n v="54701"/>
    <n v="6100"/>
    <d v="2025-10-03T00:00:00"/>
    <d v="2025-10-03T00:00:00"/>
    <n v="0"/>
    <x v="0"/>
    <x v="0"/>
    <s v="Will pay tomorrow"/>
    <n v="0"/>
    <s v="On Time"/>
  </r>
  <r>
    <s v="CUST_0149"/>
    <x v="2"/>
    <x v="0"/>
    <n v="37674"/>
    <n v="1600"/>
    <d v="2025-10-26T00:00:00"/>
    <d v="2025-10-26T00:00:00"/>
    <n v="0"/>
    <x v="1"/>
    <x v="1"/>
    <s v="Lost my job, need more time"/>
    <n v="0"/>
    <s v="On Time"/>
  </r>
  <r>
    <s v="CUST_0150"/>
    <x v="0"/>
    <x v="1"/>
    <n v="43874"/>
    <n v="6300"/>
    <d v="2025-10-05T00:00:00"/>
    <d v="2025-10-20T00:00:00"/>
    <n v="15"/>
    <x v="2"/>
    <x v="1"/>
    <s v="No response"/>
    <n v="1"/>
    <s v="Delayed"/>
  </r>
  <r>
    <s v="CUST_0151"/>
    <x v="1"/>
    <x v="1"/>
    <n v="63642"/>
    <n v="2900"/>
    <d v="2025-10-06T00:00:00"/>
    <d v="2025-10-06T00:00:00"/>
    <n v="0"/>
    <x v="0"/>
    <x v="1"/>
    <s v="No response"/>
    <n v="0"/>
    <s v="On Time"/>
  </r>
  <r>
    <s v="CUST_0152"/>
    <x v="0"/>
    <x v="0"/>
    <n v="85160"/>
    <n v="4700"/>
    <d v="2025-10-21T00:00:00"/>
    <d v="2025-12-05T00:00:00"/>
    <n v="45"/>
    <x v="2"/>
    <x v="1"/>
    <s v="Need settlement offer"/>
    <n v="1"/>
    <s v="Delayed"/>
  </r>
  <r>
    <s v="CUST_0153"/>
    <x v="2"/>
    <x v="0"/>
    <n v="37602"/>
    <n v="4200"/>
    <d v="2025-10-22T00:00:00"/>
    <d v="2025-10-22T00:00:00"/>
    <n v="0"/>
    <x v="0"/>
    <x v="1"/>
    <s v="Dispute on EMI amount"/>
    <n v="0"/>
    <s v="On Time"/>
  </r>
  <r>
    <s v="CUST_0154"/>
    <x v="0"/>
    <x v="0"/>
    <n v="45931"/>
    <n v="2900"/>
    <d v="2025-10-08T00:00:00"/>
    <d v="2025-10-11T00:00:00"/>
    <n v="3"/>
    <x v="2"/>
    <x v="1"/>
    <s v="Will pay tomorrow"/>
    <n v="1"/>
    <s v="Delayed"/>
  </r>
  <r>
    <s v="CUST_0155"/>
    <x v="1"/>
    <x v="1"/>
    <n v="49192"/>
    <n v="4100"/>
    <d v="2025-10-07T00:00:00"/>
    <d v="2025-10-07T00:00:00"/>
    <n v="0"/>
    <x v="3"/>
    <x v="0"/>
    <s v="Will pay tomorrow"/>
    <n v="0"/>
    <s v="On Time"/>
  </r>
  <r>
    <s v="CUST_0156"/>
    <x v="0"/>
    <x v="1"/>
    <n v="66542"/>
    <n v="3900"/>
    <d v="2025-10-21T00:00:00"/>
    <d v="2025-11-20T00:00:00"/>
    <n v="30"/>
    <x v="1"/>
    <x v="1"/>
    <s v="Paid already"/>
    <n v="1"/>
    <s v="Delayed"/>
  </r>
  <r>
    <s v="CUST_0157"/>
    <x v="0"/>
    <x v="1"/>
    <n v="62520"/>
    <n v="4200"/>
    <d v="2025-10-10T00:00:00"/>
    <d v="2025-10-10T00:00:00"/>
    <n v="0"/>
    <x v="1"/>
    <x v="1"/>
    <s v="Dispute on EMI amount"/>
    <n v="0"/>
    <s v="On Time"/>
  </r>
  <r>
    <s v="CUST_0158"/>
    <x v="1"/>
    <x v="1"/>
    <n v="84772"/>
    <n v="7100"/>
    <d v="2025-10-06T00:00:00"/>
    <d v="2025-10-06T00:00:00"/>
    <n v="0"/>
    <x v="1"/>
    <x v="1"/>
    <s v="Will clear dues soon"/>
    <n v="0"/>
    <s v="On Time"/>
  </r>
  <r>
    <s v="CUST_0159"/>
    <x v="0"/>
    <x v="0"/>
    <n v="78762"/>
    <n v="4400"/>
    <d v="2025-10-14T00:00:00"/>
    <d v="2025-10-14T00:00:00"/>
    <n v="0"/>
    <x v="0"/>
    <x v="1"/>
    <s v="No response"/>
    <n v="0"/>
    <s v="On Time"/>
  </r>
  <r>
    <s v="CUST_0160"/>
    <x v="1"/>
    <x v="0"/>
    <n v="70106"/>
    <n v="5800"/>
    <d v="2025-10-04T00:00:00"/>
    <d v="2025-10-04T00:00:00"/>
    <n v="0"/>
    <x v="1"/>
    <x v="0"/>
    <s v="Will pay tomorrow"/>
    <n v="0"/>
    <s v="On Time"/>
  </r>
  <r>
    <s v="CUST_0161"/>
    <x v="0"/>
    <x v="1"/>
    <n v="45559"/>
    <n v="2100"/>
    <d v="2025-10-28T00:00:00"/>
    <d v="2025-10-28T00:00:00"/>
    <n v="0"/>
    <x v="1"/>
    <x v="0"/>
    <s v="Will pay next week"/>
    <n v="0"/>
    <s v="On Time"/>
  </r>
  <r>
    <s v="CUST_0162"/>
    <x v="0"/>
    <x v="2"/>
    <n v="53742"/>
    <n v="3600"/>
    <d v="2025-10-25T00:00:00"/>
    <d v="2025-12-09T00:00:00"/>
    <n v="45"/>
    <x v="0"/>
    <x v="1"/>
    <s v="Will pay tomorrow"/>
    <n v="1"/>
    <s v="Delayed"/>
  </r>
  <r>
    <s v="CUST_0163"/>
    <x v="0"/>
    <x v="0"/>
    <n v="89669"/>
    <n v="6000"/>
    <d v="2025-10-13T00:00:00"/>
    <d v="2025-10-13T00:00:00"/>
    <n v="0"/>
    <x v="1"/>
    <x v="1"/>
    <s v="Cannot pay right now"/>
    <n v="0"/>
    <s v="On Time"/>
  </r>
  <r>
    <s v="CUST_0164"/>
    <x v="0"/>
    <x v="1"/>
    <n v="41754"/>
    <n v="4600"/>
    <d v="2025-10-20T00:00:00"/>
    <d v="2025-10-27T00:00:00"/>
    <n v="7"/>
    <x v="2"/>
    <x v="1"/>
    <s v="Cannot pay right now"/>
    <n v="1"/>
    <s v="Delayed"/>
  </r>
  <r>
    <s v="CUST_0165"/>
    <x v="2"/>
    <x v="1"/>
    <n v="23972"/>
    <n v="2700"/>
    <d v="2025-10-17T00:00:00"/>
    <d v="2025-10-20T00:00:00"/>
    <n v="3"/>
    <x v="0"/>
    <x v="1"/>
    <s v="Paid already"/>
    <n v="1"/>
    <s v="Delayed"/>
  </r>
  <r>
    <s v="CUST_0166"/>
    <x v="1"/>
    <x v="1"/>
    <n v="90831"/>
    <n v="7600"/>
    <d v="2025-10-23T00:00:00"/>
    <d v="2025-10-26T00:00:00"/>
    <n v="3"/>
    <x v="3"/>
    <x v="1"/>
    <s v="Will pay tomorrow"/>
    <n v="1"/>
    <s v="Delayed"/>
  </r>
  <r>
    <s v="CUST_0167"/>
    <x v="0"/>
    <x v="1"/>
    <n v="61873"/>
    <n v="10300"/>
    <d v="2025-10-07T00:00:00"/>
    <d v="2025-10-07T00:00:00"/>
    <n v="0"/>
    <x v="1"/>
    <x v="1"/>
    <s v="Will pay tomorrow"/>
    <n v="0"/>
    <s v="On Time"/>
  </r>
  <r>
    <s v="CUST_0168"/>
    <x v="2"/>
    <x v="1"/>
    <n v="29903"/>
    <n v="1800"/>
    <d v="2025-10-04T00:00:00"/>
    <d v="2025-10-04T00:00:00"/>
    <n v="0"/>
    <x v="0"/>
    <x v="1"/>
    <s v="Paid already"/>
    <n v="0"/>
    <s v="On Time"/>
  </r>
  <r>
    <s v="CUST_0169"/>
    <x v="2"/>
    <x v="1"/>
    <n v="23020"/>
    <n v="1300"/>
    <d v="2025-10-29T00:00:00"/>
    <d v="2025-11-05T00:00:00"/>
    <n v="7"/>
    <x v="1"/>
    <x v="1"/>
    <s v="Will pay next week"/>
    <n v="1"/>
    <s v="Delayed"/>
  </r>
  <r>
    <s v="CUST_0170"/>
    <x v="0"/>
    <x v="1"/>
    <n v="61755"/>
    <n v="4100"/>
    <d v="2025-10-14T00:00:00"/>
    <d v="2025-11-28T00:00:00"/>
    <n v="45"/>
    <x v="1"/>
    <x v="1"/>
    <s v="Will pay next week"/>
    <n v="1"/>
    <s v="Delayed"/>
  </r>
  <r>
    <s v="CUST_0171"/>
    <x v="0"/>
    <x v="1"/>
    <n v="65648"/>
    <n v="3300"/>
    <d v="2025-10-03T00:00:00"/>
    <d v="2025-10-03T00:00:00"/>
    <n v="0"/>
    <x v="1"/>
    <x v="1"/>
    <s v="No response"/>
    <n v="0"/>
    <s v="On Time"/>
  </r>
  <r>
    <s v="CUST_0172"/>
    <x v="2"/>
    <x v="0"/>
    <n v="29516"/>
    <n v="1600"/>
    <d v="2025-10-24T00:00:00"/>
    <d v="2025-10-24T00:00:00"/>
    <n v="0"/>
    <x v="2"/>
    <x v="0"/>
    <s v="Will clear dues soon"/>
    <n v="0"/>
    <s v="On Time"/>
  </r>
  <r>
    <s v="CUST_0173"/>
    <x v="0"/>
    <x v="1"/>
    <n v="22396"/>
    <n v="1600"/>
    <d v="2025-10-05T00:00:00"/>
    <d v="2025-10-05T00:00:00"/>
    <n v="0"/>
    <x v="0"/>
    <x v="1"/>
    <s v="Will pay next week"/>
    <n v="0"/>
    <s v="On Time"/>
  </r>
  <r>
    <s v="CUST_0174"/>
    <x v="0"/>
    <x v="0"/>
    <n v="39129"/>
    <n v="2800"/>
    <d v="2025-10-16T00:00:00"/>
    <d v="2025-12-15T00:00:00"/>
    <n v="60"/>
    <x v="3"/>
    <x v="1"/>
    <s v="Paid already"/>
    <n v="1"/>
    <s v="Delayed"/>
  </r>
  <r>
    <s v="CUST_0175"/>
    <x v="0"/>
    <x v="1"/>
    <n v="21591"/>
    <n v="1100"/>
    <d v="2025-10-26T00:00:00"/>
    <d v="2025-10-26T00:00:00"/>
    <n v="0"/>
    <x v="3"/>
    <x v="1"/>
    <s v="Need settlement offer"/>
    <n v="0"/>
    <s v="On Time"/>
  </r>
  <r>
    <s v="CUST_0176"/>
    <x v="2"/>
    <x v="2"/>
    <n v="31303"/>
    <n v="2100"/>
    <d v="2025-10-23T00:00:00"/>
    <d v="2025-10-23T00:00:00"/>
    <n v="0"/>
    <x v="3"/>
    <x v="1"/>
    <s v="Need settlement offer"/>
    <n v="0"/>
    <s v="On Time"/>
  </r>
  <r>
    <s v="CUST_0177"/>
    <x v="0"/>
    <x v="1"/>
    <n v="50561"/>
    <n v="3400"/>
    <d v="2025-10-20T00:00:00"/>
    <d v="2025-11-19T00:00:00"/>
    <n v="30"/>
    <x v="2"/>
    <x v="1"/>
    <s v="Cannot pay right now"/>
    <n v="1"/>
    <s v="Delayed"/>
  </r>
  <r>
    <s v="CUST_0178"/>
    <x v="0"/>
    <x v="1"/>
    <n v="91719"/>
    <n v="7100"/>
    <d v="2025-10-04T00:00:00"/>
    <d v="2025-10-04T00:00:00"/>
    <n v="0"/>
    <x v="2"/>
    <x v="1"/>
    <s v="Will pay next week"/>
    <n v="0"/>
    <s v="On Time"/>
  </r>
  <r>
    <s v="CUST_0179"/>
    <x v="1"/>
    <x v="2"/>
    <n v="27314"/>
    <n v="1300"/>
    <d v="2025-10-24T00:00:00"/>
    <d v="2025-10-24T00:00:00"/>
    <n v="0"/>
    <x v="1"/>
    <x v="0"/>
    <s v="Paid already"/>
    <n v="0"/>
    <s v="On Time"/>
  </r>
  <r>
    <s v="CUST_0180"/>
    <x v="2"/>
    <x v="0"/>
    <n v="39623"/>
    <n v="1800"/>
    <d v="2025-10-30T00:00:00"/>
    <d v="2025-11-02T00:00:00"/>
    <n v="3"/>
    <x v="2"/>
    <x v="1"/>
    <s v="Will pay next week"/>
    <n v="1"/>
    <s v="Delayed"/>
  </r>
  <r>
    <s v="CUST_0181"/>
    <x v="0"/>
    <x v="0"/>
    <n v="87675"/>
    <n v="8800"/>
    <d v="2025-10-24T00:00:00"/>
    <d v="2025-11-23T00:00:00"/>
    <n v="30"/>
    <x v="2"/>
    <x v="1"/>
    <s v="Cannot pay right now"/>
    <n v="1"/>
    <s v="Delayed"/>
  </r>
  <r>
    <s v="CUST_0182"/>
    <x v="2"/>
    <x v="1"/>
    <n v="85082"/>
    <n v="9500"/>
    <d v="2025-10-02T00:00:00"/>
    <d v="2025-10-02T00:00:00"/>
    <n v="0"/>
    <x v="3"/>
    <x v="1"/>
    <s v="Please stop calling"/>
    <n v="0"/>
    <s v="On Time"/>
  </r>
  <r>
    <s v="CUST_0183"/>
    <x v="1"/>
    <x v="1"/>
    <n v="53130"/>
    <n v="2300"/>
    <d v="2025-10-30T00:00:00"/>
    <d v="2025-10-30T00:00:00"/>
    <n v="0"/>
    <x v="2"/>
    <x v="1"/>
    <s v="Lost my job, need more time"/>
    <n v="0"/>
    <s v="On Time"/>
  </r>
  <r>
    <s v="CUST_0184"/>
    <x v="1"/>
    <x v="0"/>
    <n v="71756"/>
    <n v="8000"/>
    <d v="2025-10-18T00:00:00"/>
    <d v="2025-10-18T00:00:00"/>
    <n v="0"/>
    <x v="1"/>
    <x v="0"/>
    <s v="No response"/>
    <n v="0"/>
    <s v="On Time"/>
  </r>
  <r>
    <s v="CUST_0185"/>
    <x v="0"/>
    <x v="2"/>
    <n v="46292"/>
    <n v="3900"/>
    <d v="2025-10-19T00:00:00"/>
    <d v="2025-10-19T00:00:00"/>
    <n v="0"/>
    <x v="3"/>
    <x v="1"/>
    <s v="No response"/>
    <n v="0"/>
    <s v="On Time"/>
  </r>
  <r>
    <s v="CUST_0186"/>
    <x v="0"/>
    <x v="0"/>
    <n v="89274"/>
    <n v="6000"/>
    <d v="2025-10-28T00:00:00"/>
    <d v="2025-10-31T00:00:00"/>
    <n v="3"/>
    <x v="3"/>
    <x v="1"/>
    <s v="Cannot pay right now"/>
    <n v="1"/>
    <s v="Delayed"/>
  </r>
  <r>
    <s v="CUST_0187"/>
    <x v="1"/>
    <x v="0"/>
    <n v="22469"/>
    <n v="1000"/>
    <d v="2025-10-28T00:00:00"/>
    <d v="2025-10-28T00:00:00"/>
    <n v="0"/>
    <x v="3"/>
    <x v="1"/>
    <s v="No response"/>
    <n v="0"/>
    <s v="On Time"/>
  </r>
  <r>
    <s v="CUST_0188"/>
    <x v="0"/>
    <x v="1"/>
    <n v="73947"/>
    <n v="8200"/>
    <d v="2025-10-19T00:00:00"/>
    <d v="2025-10-19T00:00:00"/>
    <n v="0"/>
    <x v="3"/>
    <x v="1"/>
    <s v="Paid already"/>
    <n v="0"/>
    <s v="On Time"/>
  </r>
  <r>
    <s v="CUST_0189"/>
    <x v="0"/>
    <x v="0"/>
    <n v="42534"/>
    <n v="2800"/>
    <d v="2025-10-17T00:00:00"/>
    <d v="2025-10-17T00:00:00"/>
    <n v="0"/>
    <x v="2"/>
    <x v="1"/>
    <s v="Please stop calling"/>
    <n v="0"/>
    <s v="On Time"/>
  </r>
  <r>
    <s v="CUST_0190"/>
    <x v="0"/>
    <x v="1"/>
    <n v="83620"/>
    <n v="13900"/>
    <d v="2025-10-14T00:00:00"/>
    <d v="2025-10-17T00:00:00"/>
    <n v="3"/>
    <x v="3"/>
    <x v="0"/>
    <s v="Please stop calling"/>
    <n v="1"/>
    <s v="Delayed"/>
  </r>
  <r>
    <s v="CUST_0191"/>
    <x v="2"/>
    <x v="1"/>
    <n v="68874"/>
    <n v="3000"/>
    <d v="2025-10-19T00:00:00"/>
    <d v="2025-10-19T00:00:00"/>
    <n v="0"/>
    <x v="1"/>
    <x v="1"/>
    <s v="Dispute on EMI amount"/>
    <n v="0"/>
    <s v="On Time"/>
  </r>
  <r>
    <s v="CUST_0192"/>
    <x v="1"/>
    <x v="1"/>
    <n v="69708"/>
    <n v="7000"/>
    <d v="2025-10-22T00:00:00"/>
    <d v="2025-11-06T00:00:00"/>
    <n v="15"/>
    <x v="1"/>
    <x v="1"/>
    <s v="Need settlement offer"/>
    <n v="1"/>
    <s v="Delayed"/>
  </r>
  <r>
    <s v="CUST_0193"/>
    <x v="1"/>
    <x v="0"/>
    <n v="94553"/>
    <n v="4700"/>
    <d v="2025-10-24T00:00:00"/>
    <d v="2025-10-24T00:00:00"/>
    <n v="0"/>
    <x v="2"/>
    <x v="0"/>
    <s v="Will pay tomorrow"/>
    <n v="0"/>
    <s v="On Time"/>
  </r>
  <r>
    <s v="CUST_0194"/>
    <x v="0"/>
    <x v="1"/>
    <n v="88344"/>
    <n v="4000"/>
    <d v="2025-10-13T00:00:00"/>
    <d v="2025-10-28T00:00:00"/>
    <n v="15"/>
    <x v="0"/>
    <x v="0"/>
    <s v="Paid already"/>
    <n v="1"/>
    <s v="Delayed"/>
  </r>
  <r>
    <s v="CUST_0195"/>
    <x v="0"/>
    <x v="1"/>
    <n v="69138"/>
    <n v="8600"/>
    <d v="2025-10-12T00:00:00"/>
    <d v="2025-10-27T00:00:00"/>
    <n v="15"/>
    <x v="2"/>
    <x v="0"/>
    <s v="Lost my job, need more time"/>
    <n v="1"/>
    <s v="Delayed"/>
  </r>
  <r>
    <s v="CUST_0196"/>
    <x v="0"/>
    <x v="0"/>
    <n v="74302"/>
    <n v="4400"/>
    <d v="2025-10-30T00:00:00"/>
    <d v="2025-10-30T00:00:00"/>
    <n v="0"/>
    <x v="2"/>
    <x v="0"/>
    <s v="Will pay next week"/>
    <n v="0"/>
    <s v="On Time"/>
  </r>
  <r>
    <s v="CUST_0197"/>
    <x v="1"/>
    <x v="1"/>
    <n v="67638"/>
    <n v="9700"/>
    <d v="2025-10-26T00:00:00"/>
    <d v="2025-10-26T00:00:00"/>
    <n v="0"/>
    <x v="0"/>
    <x v="1"/>
    <s v="Will pay tomorrow"/>
    <n v="0"/>
    <s v="On Time"/>
  </r>
  <r>
    <s v="CUST_0198"/>
    <x v="1"/>
    <x v="0"/>
    <n v="98249"/>
    <n v="16400"/>
    <d v="2025-10-06T00:00:00"/>
    <d v="2025-10-06T00:00:00"/>
    <n v="0"/>
    <x v="3"/>
    <x v="1"/>
    <s v="Will pay next week"/>
    <n v="0"/>
    <s v="On Time"/>
  </r>
  <r>
    <s v="CUST_0199"/>
    <x v="1"/>
    <x v="1"/>
    <n v="22719"/>
    <n v="1000"/>
    <d v="2025-10-21T00:00:00"/>
    <d v="2025-10-21T00:00:00"/>
    <n v="0"/>
    <x v="0"/>
    <x v="1"/>
    <s v="Need settlement offer"/>
    <n v="0"/>
    <s v="On Time"/>
  </r>
  <r>
    <s v="CUST_0200"/>
    <x v="1"/>
    <x v="1"/>
    <n v="42890"/>
    <n v="2000"/>
    <d v="2025-10-04T00:00:00"/>
    <d v="2025-10-04T00:00:00"/>
    <n v="0"/>
    <x v="3"/>
    <x v="1"/>
    <s v="Will pay next week"/>
    <n v="0"/>
    <s v="On Time"/>
  </r>
  <r>
    <s v="CUST_0201"/>
    <x v="0"/>
    <x v="0"/>
    <n v="97236"/>
    <n v="9700"/>
    <d v="2025-10-19T00:00:00"/>
    <d v="2025-10-19T00:00:00"/>
    <n v="0"/>
    <x v="2"/>
    <x v="1"/>
    <s v="Need settlement offer"/>
    <n v="0"/>
    <s v="On Time"/>
  </r>
  <r>
    <s v="CUST_0202"/>
    <x v="2"/>
    <x v="1"/>
    <n v="56509"/>
    <n v="2800"/>
    <d v="2025-10-16T00:00:00"/>
    <d v="2025-10-16T00:00:00"/>
    <n v="0"/>
    <x v="3"/>
    <x v="1"/>
    <s v="Will pay tomorrow"/>
    <n v="0"/>
    <s v="On Time"/>
  </r>
  <r>
    <s v="CUST_0203"/>
    <x v="2"/>
    <x v="1"/>
    <n v="62534"/>
    <n v="7800"/>
    <d v="2025-10-13T00:00:00"/>
    <d v="2025-10-28T00:00:00"/>
    <n v="15"/>
    <x v="1"/>
    <x v="1"/>
    <s v="Cannot pay right now"/>
    <n v="1"/>
    <s v="Delayed"/>
  </r>
  <r>
    <s v="CUST_0204"/>
    <x v="1"/>
    <x v="1"/>
    <n v="38787"/>
    <n v="3200"/>
    <d v="2025-10-04T00:00:00"/>
    <d v="2025-10-04T00:00:00"/>
    <n v="0"/>
    <x v="1"/>
    <x v="1"/>
    <s v="No response"/>
    <n v="0"/>
    <s v="On Time"/>
  </r>
  <r>
    <s v="CUST_0205"/>
    <x v="0"/>
    <x v="1"/>
    <n v="68845"/>
    <n v="4300"/>
    <d v="2025-10-30T00:00:00"/>
    <d v="2025-11-14T00:00:00"/>
    <n v="15"/>
    <x v="1"/>
    <x v="1"/>
    <s v="Will pay next week"/>
    <n v="1"/>
    <s v="Delayed"/>
  </r>
  <r>
    <s v="CUST_0206"/>
    <x v="2"/>
    <x v="2"/>
    <n v="77932"/>
    <n v="5200"/>
    <d v="2025-10-23T00:00:00"/>
    <d v="2025-10-23T00:00:00"/>
    <n v="0"/>
    <x v="2"/>
    <x v="1"/>
    <s v="Will pay tomorrow"/>
    <n v="0"/>
    <s v="On Time"/>
  </r>
  <r>
    <s v="CUST_0207"/>
    <x v="2"/>
    <x v="1"/>
    <n v="53062"/>
    <n v="3800"/>
    <d v="2025-10-17T00:00:00"/>
    <d v="2025-11-16T00:00:00"/>
    <n v="30"/>
    <x v="2"/>
    <x v="1"/>
    <s v="Lost my job, need more time"/>
    <n v="1"/>
    <s v="Delayed"/>
  </r>
  <r>
    <s v="CUST_0208"/>
    <x v="0"/>
    <x v="0"/>
    <n v="95713"/>
    <n v="5000"/>
    <d v="2025-10-23T00:00:00"/>
    <d v="2025-10-26T00:00:00"/>
    <n v="3"/>
    <x v="3"/>
    <x v="0"/>
    <s v="Will pay next week"/>
    <n v="1"/>
    <s v="Delayed"/>
  </r>
  <r>
    <s v="CUST_0209"/>
    <x v="2"/>
    <x v="1"/>
    <n v="80461"/>
    <n v="4500"/>
    <d v="2025-10-01T00:00:00"/>
    <d v="2025-10-01T00:00:00"/>
    <n v="0"/>
    <x v="3"/>
    <x v="1"/>
    <s v="No response"/>
    <n v="0"/>
    <s v="On Time"/>
  </r>
  <r>
    <s v="CUST_0210"/>
    <x v="2"/>
    <x v="0"/>
    <n v="95418"/>
    <n v="13600"/>
    <d v="2025-10-18T00:00:00"/>
    <d v="2025-10-21T00:00:00"/>
    <n v="3"/>
    <x v="0"/>
    <x v="1"/>
    <s v="Cannot pay right now"/>
    <n v="1"/>
    <s v="Delayed"/>
  </r>
  <r>
    <s v="CUST_0211"/>
    <x v="0"/>
    <x v="0"/>
    <n v="86672"/>
    <n v="10800"/>
    <d v="2025-10-20T00:00:00"/>
    <d v="2025-10-20T00:00:00"/>
    <n v="0"/>
    <x v="2"/>
    <x v="1"/>
    <s v="Cannot pay right now"/>
    <n v="0"/>
    <s v="On Time"/>
  </r>
  <r>
    <s v="CUST_0212"/>
    <x v="0"/>
    <x v="0"/>
    <n v="54832"/>
    <n v="4600"/>
    <d v="2025-10-17T00:00:00"/>
    <d v="2025-10-17T00:00:00"/>
    <n v="0"/>
    <x v="1"/>
    <x v="1"/>
    <s v="Lost my job, need more time"/>
    <n v="0"/>
    <s v="On Time"/>
  </r>
  <r>
    <s v="CUST_0213"/>
    <x v="0"/>
    <x v="1"/>
    <n v="51966"/>
    <n v="2300"/>
    <d v="2025-10-27T00:00:00"/>
    <d v="2025-11-26T00:00:00"/>
    <n v="30"/>
    <x v="1"/>
    <x v="1"/>
    <s v="Paid already"/>
    <n v="1"/>
    <s v="Delayed"/>
  </r>
  <r>
    <s v="CUST_0214"/>
    <x v="0"/>
    <x v="1"/>
    <n v="92545"/>
    <n v="11600"/>
    <d v="2025-10-28T00:00:00"/>
    <d v="2025-10-28T00:00:00"/>
    <n v="0"/>
    <x v="2"/>
    <x v="1"/>
    <s v="Lost my job, need more time"/>
    <n v="0"/>
    <s v="On Time"/>
  </r>
  <r>
    <s v="CUST_0215"/>
    <x v="1"/>
    <x v="1"/>
    <n v="32987"/>
    <n v="2200"/>
    <d v="2025-10-27T00:00:00"/>
    <d v="2025-10-27T00:00:00"/>
    <n v="0"/>
    <x v="1"/>
    <x v="1"/>
    <s v="Will pay next week"/>
    <n v="0"/>
    <s v="On Time"/>
  </r>
  <r>
    <s v="CUST_0216"/>
    <x v="0"/>
    <x v="2"/>
    <n v="57311"/>
    <n v="4800"/>
    <d v="2025-10-15T00:00:00"/>
    <d v="2025-10-22T00:00:00"/>
    <n v="7"/>
    <x v="3"/>
    <x v="1"/>
    <s v="Paid already"/>
    <n v="1"/>
    <s v="Delayed"/>
  </r>
  <r>
    <s v="CUST_0217"/>
    <x v="0"/>
    <x v="0"/>
    <n v="51575"/>
    <n v="3700"/>
    <d v="2025-10-11T00:00:00"/>
    <d v="2025-11-10T00:00:00"/>
    <n v="30"/>
    <x v="3"/>
    <x v="1"/>
    <s v="Please stop calling"/>
    <n v="1"/>
    <s v="Delayed"/>
  </r>
  <r>
    <s v="CUST_0218"/>
    <x v="1"/>
    <x v="2"/>
    <n v="83852"/>
    <n v="3800"/>
    <d v="2025-10-25T00:00:00"/>
    <d v="2025-10-28T00:00:00"/>
    <n v="3"/>
    <x v="3"/>
    <x v="1"/>
    <s v="Cannot pay right now"/>
    <n v="1"/>
    <s v="Delayed"/>
  </r>
  <r>
    <s v="CUST_0219"/>
    <x v="0"/>
    <x v="1"/>
    <n v="21007"/>
    <n v="1300"/>
    <d v="2025-10-28T00:00:00"/>
    <d v="2025-10-28T00:00:00"/>
    <n v="0"/>
    <x v="2"/>
    <x v="1"/>
    <s v="No response"/>
    <n v="0"/>
    <s v="On Time"/>
  </r>
  <r>
    <s v="CUST_0220"/>
    <x v="1"/>
    <x v="0"/>
    <n v="90981"/>
    <n v="7600"/>
    <d v="2025-10-22T00:00:00"/>
    <d v="2025-10-25T00:00:00"/>
    <n v="3"/>
    <x v="2"/>
    <x v="0"/>
    <s v="Cannot pay right now"/>
    <n v="1"/>
    <s v="Delayed"/>
  </r>
  <r>
    <s v="CUST_0221"/>
    <x v="0"/>
    <x v="2"/>
    <n v="96242"/>
    <n v="5100"/>
    <d v="2025-10-13T00:00:00"/>
    <d v="2025-10-13T00:00:00"/>
    <n v="0"/>
    <x v="2"/>
    <x v="1"/>
    <s v="Cannot pay right now"/>
    <n v="0"/>
    <s v="On Time"/>
  </r>
  <r>
    <s v="CUST_0222"/>
    <x v="0"/>
    <x v="1"/>
    <n v="67517"/>
    <n v="7500"/>
    <d v="2025-10-01T00:00:00"/>
    <d v="2025-10-08T00:00:00"/>
    <n v="7"/>
    <x v="2"/>
    <x v="0"/>
    <s v="Dispute on EMI amount"/>
    <n v="1"/>
    <s v="Delayed"/>
  </r>
  <r>
    <s v="CUST_0223"/>
    <x v="2"/>
    <x v="1"/>
    <n v="49257"/>
    <n v="4500"/>
    <d v="2025-10-17T00:00:00"/>
    <d v="2025-12-01T00:00:00"/>
    <n v="45"/>
    <x v="2"/>
    <x v="1"/>
    <s v="Will pay tomorrow"/>
    <n v="1"/>
    <s v="Delayed"/>
  </r>
  <r>
    <s v="CUST_0224"/>
    <x v="0"/>
    <x v="0"/>
    <n v="62207"/>
    <n v="4100"/>
    <d v="2025-10-06T00:00:00"/>
    <d v="2025-10-13T00:00:00"/>
    <n v="7"/>
    <x v="1"/>
    <x v="1"/>
    <s v="Will pay tomorrow"/>
    <n v="1"/>
    <s v="Delayed"/>
  </r>
  <r>
    <s v="CUST_0225"/>
    <x v="0"/>
    <x v="0"/>
    <n v="33281"/>
    <n v="2800"/>
    <d v="2025-10-04T00:00:00"/>
    <d v="2025-10-19T00:00:00"/>
    <n v="15"/>
    <x v="1"/>
    <x v="1"/>
    <s v="Cannot pay right now"/>
    <n v="1"/>
    <s v="Delayed"/>
  </r>
  <r>
    <s v="CUST_0226"/>
    <x v="0"/>
    <x v="0"/>
    <n v="81246"/>
    <n v="4500"/>
    <d v="2025-10-20T00:00:00"/>
    <d v="2025-10-20T00:00:00"/>
    <n v="0"/>
    <x v="3"/>
    <x v="0"/>
    <s v="Will clear dues soon"/>
    <n v="0"/>
    <s v="On Time"/>
  </r>
  <r>
    <s v="CUST_0227"/>
    <x v="1"/>
    <x v="1"/>
    <n v="21435"/>
    <n v="1100"/>
    <d v="2025-10-16T00:00:00"/>
    <d v="2025-10-23T00:00:00"/>
    <n v="7"/>
    <x v="3"/>
    <x v="1"/>
    <s v="Need settlement offer"/>
    <n v="1"/>
    <s v="Delayed"/>
  </r>
  <r>
    <s v="CUST_0228"/>
    <x v="0"/>
    <x v="0"/>
    <n v="46660"/>
    <n v="5200"/>
    <d v="2025-10-15T00:00:00"/>
    <d v="2025-10-30T00:00:00"/>
    <n v="15"/>
    <x v="1"/>
    <x v="1"/>
    <s v="Lost my job, need more time"/>
    <n v="1"/>
    <s v="Delayed"/>
  </r>
  <r>
    <s v="CUST_0229"/>
    <x v="1"/>
    <x v="1"/>
    <n v="25084"/>
    <n v="1900"/>
    <d v="2025-10-27T00:00:00"/>
    <d v="2025-10-27T00:00:00"/>
    <n v="0"/>
    <x v="2"/>
    <x v="0"/>
    <s v="Please stop calling"/>
    <n v="0"/>
    <s v="On Time"/>
  </r>
  <r>
    <s v="CUST_0230"/>
    <x v="0"/>
    <x v="1"/>
    <n v="33507"/>
    <n v="3400"/>
    <d v="2025-10-15T00:00:00"/>
    <d v="2025-11-14T00:00:00"/>
    <n v="30"/>
    <x v="1"/>
    <x v="1"/>
    <s v="Paid already"/>
    <n v="1"/>
    <s v="Delayed"/>
  </r>
  <r>
    <s v="CUST_0231"/>
    <x v="1"/>
    <x v="1"/>
    <n v="92595"/>
    <n v="15400"/>
    <d v="2025-10-06T00:00:00"/>
    <d v="2025-10-06T00:00:00"/>
    <n v="0"/>
    <x v="3"/>
    <x v="0"/>
    <s v="Will clear dues soon"/>
    <n v="0"/>
    <s v="On Time"/>
  </r>
  <r>
    <s v="CUST_0232"/>
    <x v="0"/>
    <x v="0"/>
    <n v="65539"/>
    <n v="7300"/>
    <d v="2025-10-15T00:00:00"/>
    <d v="2025-10-18T00:00:00"/>
    <n v="3"/>
    <x v="2"/>
    <x v="1"/>
    <s v="Lost my job, need more time"/>
    <n v="1"/>
    <s v="Delayed"/>
  </r>
  <r>
    <s v="CUST_0233"/>
    <x v="0"/>
    <x v="0"/>
    <n v="27491"/>
    <n v="3400"/>
    <d v="2025-10-14T00:00:00"/>
    <d v="2025-10-29T00:00:00"/>
    <n v="15"/>
    <x v="3"/>
    <x v="1"/>
    <s v="Dispute on EMI amount"/>
    <n v="1"/>
    <s v="Delayed"/>
  </r>
  <r>
    <s v="CUST_0234"/>
    <x v="0"/>
    <x v="0"/>
    <n v="70192"/>
    <n v="5000"/>
    <d v="2025-10-28T00:00:00"/>
    <d v="2025-10-31T00:00:00"/>
    <n v="3"/>
    <x v="3"/>
    <x v="1"/>
    <s v="Need settlement offer"/>
    <n v="1"/>
    <s v="Delayed"/>
  </r>
  <r>
    <s v="CUST_0235"/>
    <x v="2"/>
    <x v="1"/>
    <n v="83888"/>
    <n v="6500"/>
    <d v="2025-10-11T00:00:00"/>
    <d v="2025-10-11T00:00:00"/>
    <n v="0"/>
    <x v="1"/>
    <x v="1"/>
    <s v="Will pay next week"/>
    <n v="0"/>
    <s v="On Time"/>
  </r>
  <r>
    <s v="CUST_0236"/>
    <x v="1"/>
    <x v="0"/>
    <n v="93609"/>
    <n v="15600"/>
    <d v="2025-10-07T00:00:00"/>
    <d v="2025-10-10T00:00:00"/>
    <n v="3"/>
    <x v="2"/>
    <x v="1"/>
    <s v="Dispute on EMI amount"/>
    <n v="1"/>
    <s v="Delayed"/>
  </r>
  <r>
    <s v="CUST_0237"/>
    <x v="0"/>
    <x v="1"/>
    <n v="29077"/>
    <n v="2600"/>
    <d v="2025-10-09T00:00:00"/>
    <d v="2025-10-09T00:00:00"/>
    <n v="0"/>
    <x v="1"/>
    <x v="1"/>
    <s v="No response"/>
    <n v="0"/>
    <s v="On Time"/>
  </r>
  <r>
    <s v="CUST_0238"/>
    <x v="2"/>
    <x v="0"/>
    <n v="40953"/>
    <n v="2900"/>
    <d v="2025-10-26T00:00:00"/>
    <d v="2025-11-25T00:00:00"/>
    <n v="30"/>
    <x v="0"/>
    <x v="0"/>
    <s v="Will clear dues soon"/>
    <n v="1"/>
    <s v="Delayed"/>
  </r>
  <r>
    <s v="CUST_0239"/>
    <x v="0"/>
    <x v="1"/>
    <n v="96919"/>
    <n v="8100"/>
    <d v="2025-10-16T00:00:00"/>
    <d v="2025-10-16T00:00:00"/>
    <n v="0"/>
    <x v="2"/>
    <x v="0"/>
    <s v="Cannot pay right now"/>
    <n v="0"/>
    <s v="On Time"/>
  </r>
  <r>
    <s v="CUST_0240"/>
    <x v="2"/>
    <x v="1"/>
    <n v="87889"/>
    <n v="9800"/>
    <d v="2025-10-05T00:00:00"/>
    <d v="2025-10-05T00:00:00"/>
    <n v="0"/>
    <x v="1"/>
    <x v="0"/>
    <s v="Will pay tomorrow"/>
    <n v="0"/>
    <s v="On Time"/>
  </r>
  <r>
    <s v="CUST_0241"/>
    <x v="1"/>
    <x v="1"/>
    <n v="43821"/>
    <n v="2400"/>
    <d v="2025-10-25T00:00:00"/>
    <d v="2025-11-01T00:00:00"/>
    <n v="7"/>
    <x v="3"/>
    <x v="1"/>
    <s v="Will pay next week"/>
    <n v="1"/>
    <s v="Delayed"/>
  </r>
  <r>
    <s v="CUST_0242"/>
    <x v="1"/>
    <x v="1"/>
    <n v="57567"/>
    <n v="2600"/>
    <d v="2025-10-20T00:00:00"/>
    <d v="2025-10-20T00:00:00"/>
    <n v="0"/>
    <x v="2"/>
    <x v="1"/>
    <s v="Need settlement offer"/>
    <n v="0"/>
    <s v="On Time"/>
  </r>
  <r>
    <s v="CUST_0243"/>
    <x v="1"/>
    <x v="0"/>
    <n v="44860"/>
    <n v="6400"/>
    <d v="2025-10-29T00:00:00"/>
    <d v="2025-11-01T00:00:00"/>
    <n v="3"/>
    <x v="1"/>
    <x v="1"/>
    <s v="Paid already"/>
    <n v="1"/>
    <s v="Delayed"/>
  </r>
  <r>
    <s v="CUST_0244"/>
    <x v="0"/>
    <x v="0"/>
    <n v="41195"/>
    <n v="4100"/>
    <d v="2025-10-10T00:00:00"/>
    <d v="2025-10-13T00:00:00"/>
    <n v="3"/>
    <x v="2"/>
    <x v="1"/>
    <s v="Dispute on EMI amount"/>
    <n v="1"/>
    <s v="Delayed"/>
  </r>
  <r>
    <s v="CUST_0245"/>
    <x v="2"/>
    <x v="1"/>
    <n v="97475"/>
    <n v="5700"/>
    <d v="2025-10-18T00:00:00"/>
    <d v="2025-11-17T00:00:00"/>
    <n v="30"/>
    <x v="2"/>
    <x v="1"/>
    <s v="Please stop calling"/>
    <n v="1"/>
    <s v="Delayed"/>
  </r>
  <r>
    <s v="CUST_0246"/>
    <x v="1"/>
    <x v="0"/>
    <n v="41427"/>
    <n v="3200"/>
    <d v="2025-10-03T00:00:00"/>
    <d v="2025-10-06T00:00:00"/>
    <n v="3"/>
    <x v="3"/>
    <x v="1"/>
    <s v="Need settlement offer"/>
    <n v="1"/>
    <s v="Delayed"/>
  </r>
  <r>
    <s v="CUST_0247"/>
    <x v="0"/>
    <x v="1"/>
    <n v="47083"/>
    <n v="4300"/>
    <d v="2025-10-13T00:00:00"/>
    <d v="2025-10-13T00:00:00"/>
    <n v="0"/>
    <x v="2"/>
    <x v="1"/>
    <s v="Will clear dues soon"/>
    <n v="0"/>
    <s v="On Time"/>
  </r>
  <r>
    <s v="CUST_0248"/>
    <x v="1"/>
    <x v="0"/>
    <n v="77372"/>
    <n v="6000"/>
    <d v="2025-10-11T00:00:00"/>
    <d v="2025-10-11T00:00:00"/>
    <n v="0"/>
    <x v="0"/>
    <x v="1"/>
    <s v="Paid already"/>
    <n v="0"/>
    <s v="On Time"/>
  </r>
  <r>
    <s v="CUST_0249"/>
    <x v="1"/>
    <x v="2"/>
    <n v="64064"/>
    <n v="2800"/>
    <d v="2025-10-17T00:00:00"/>
    <d v="2025-10-17T00:00:00"/>
    <n v="0"/>
    <x v="0"/>
    <x v="1"/>
    <s v="Will clear dues soon"/>
    <n v="0"/>
    <s v="On Time"/>
  </r>
  <r>
    <s v="CUST_0250"/>
    <x v="1"/>
    <x v="0"/>
    <n v="27813"/>
    <n v="3500"/>
    <d v="2025-10-30T00:00:00"/>
    <d v="2025-10-30T00:00:00"/>
    <n v="0"/>
    <x v="1"/>
    <x v="1"/>
    <s v="Need settlement offer"/>
    <n v="0"/>
    <s v="On Time"/>
  </r>
  <r>
    <s v="CUST_0251"/>
    <x v="0"/>
    <x v="1"/>
    <n v="51598"/>
    <n v="3000"/>
    <d v="2025-10-30T00:00:00"/>
    <d v="2025-10-30T00:00:00"/>
    <n v="0"/>
    <x v="1"/>
    <x v="1"/>
    <s v="Will clear dues soon"/>
    <n v="0"/>
    <s v="On Time"/>
  </r>
  <r>
    <s v="CUST_0252"/>
    <x v="0"/>
    <x v="2"/>
    <n v="47082"/>
    <n v="5900"/>
    <d v="2025-10-22T00:00:00"/>
    <d v="2025-10-25T00:00:00"/>
    <n v="3"/>
    <x v="2"/>
    <x v="0"/>
    <s v="Will pay next week"/>
    <n v="1"/>
    <s v="Delayed"/>
  </r>
  <r>
    <s v="CUST_0253"/>
    <x v="1"/>
    <x v="0"/>
    <n v="49241"/>
    <n v="4500"/>
    <d v="2025-10-13T00:00:00"/>
    <d v="2025-10-20T00:00:00"/>
    <n v="7"/>
    <x v="2"/>
    <x v="1"/>
    <s v="Cannot pay right now"/>
    <n v="1"/>
    <s v="Delayed"/>
  </r>
  <r>
    <s v="CUST_0254"/>
    <x v="0"/>
    <x v="1"/>
    <n v="64569"/>
    <n v="9200"/>
    <d v="2025-10-06T00:00:00"/>
    <d v="2025-10-06T00:00:00"/>
    <n v="0"/>
    <x v="3"/>
    <x v="1"/>
    <s v="Will pay tomorrow"/>
    <n v="0"/>
    <s v="On Time"/>
  </r>
  <r>
    <s v="CUST_0255"/>
    <x v="2"/>
    <x v="1"/>
    <n v="31745"/>
    <n v="1900"/>
    <d v="2025-10-17T00:00:00"/>
    <d v="2025-11-01T00:00:00"/>
    <n v="15"/>
    <x v="2"/>
    <x v="0"/>
    <s v="Paid already"/>
    <n v="1"/>
    <s v="Delayed"/>
  </r>
  <r>
    <s v="CUST_0256"/>
    <x v="0"/>
    <x v="0"/>
    <n v="46029"/>
    <n v="6600"/>
    <d v="2025-10-27T00:00:00"/>
    <d v="2025-12-26T00:00:00"/>
    <n v="60"/>
    <x v="2"/>
    <x v="1"/>
    <s v="Will clear dues soon"/>
    <n v="1"/>
    <s v="Delayed"/>
  </r>
  <r>
    <s v="CUST_0257"/>
    <x v="1"/>
    <x v="0"/>
    <n v="33025"/>
    <n v="3000"/>
    <d v="2025-10-13T00:00:00"/>
    <d v="2025-10-28T00:00:00"/>
    <n v="15"/>
    <x v="0"/>
    <x v="0"/>
    <s v="Paid already"/>
    <n v="1"/>
    <s v="Delayed"/>
  </r>
  <r>
    <s v="CUST_0258"/>
    <x v="0"/>
    <x v="0"/>
    <n v="34288"/>
    <n v="1600"/>
    <d v="2025-10-19T00:00:00"/>
    <d v="2025-10-22T00:00:00"/>
    <n v="3"/>
    <x v="2"/>
    <x v="1"/>
    <s v="No response"/>
    <n v="1"/>
    <s v="Delayed"/>
  </r>
  <r>
    <s v="CUST_0259"/>
    <x v="0"/>
    <x v="0"/>
    <n v="26540"/>
    <n v="3300"/>
    <d v="2025-10-21T00:00:00"/>
    <d v="2025-10-21T00:00:00"/>
    <n v="0"/>
    <x v="2"/>
    <x v="0"/>
    <s v="Please stop calling"/>
    <n v="0"/>
    <s v="On Time"/>
  </r>
  <r>
    <s v="CUST_0260"/>
    <x v="2"/>
    <x v="0"/>
    <n v="88878"/>
    <n v="12700"/>
    <d v="2025-10-19T00:00:00"/>
    <d v="2025-10-19T00:00:00"/>
    <n v="0"/>
    <x v="2"/>
    <x v="1"/>
    <s v="Need settlement offer"/>
    <n v="0"/>
    <s v="On Time"/>
  </r>
  <r>
    <s v="CUST_0261"/>
    <x v="0"/>
    <x v="1"/>
    <n v="61846"/>
    <n v="4800"/>
    <d v="2025-10-10T00:00:00"/>
    <d v="2025-10-10T00:00:00"/>
    <n v="0"/>
    <x v="1"/>
    <x v="1"/>
    <s v="Will pay next week"/>
    <n v="0"/>
    <s v="On Time"/>
  </r>
  <r>
    <s v="CUST_0262"/>
    <x v="1"/>
    <x v="1"/>
    <n v="95932"/>
    <n v="5600"/>
    <d v="2025-10-03T00:00:00"/>
    <d v="2025-10-03T00:00:00"/>
    <n v="0"/>
    <x v="1"/>
    <x v="1"/>
    <s v="Need settlement offer"/>
    <n v="0"/>
    <s v="On Time"/>
  </r>
  <r>
    <s v="CUST_0263"/>
    <x v="2"/>
    <x v="1"/>
    <n v="37482"/>
    <n v="4200"/>
    <d v="2025-10-14T00:00:00"/>
    <d v="2025-11-13T00:00:00"/>
    <n v="30"/>
    <x v="3"/>
    <x v="1"/>
    <s v="Will pay next week"/>
    <n v="1"/>
    <s v="Delayed"/>
  </r>
  <r>
    <s v="CUST_0264"/>
    <x v="0"/>
    <x v="0"/>
    <n v="43411"/>
    <n v="4300"/>
    <d v="2025-10-26T00:00:00"/>
    <d v="2025-11-10T00:00:00"/>
    <n v="15"/>
    <x v="2"/>
    <x v="1"/>
    <s v="Lost my job, need more time"/>
    <n v="1"/>
    <s v="Delayed"/>
  </r>
  <r>
    <s v="CUST_0265"/>
    <x v="1"/>
    <x v="1"/>
    <n v="70975"/>
    <n v="3900"/>
    <d v="2025-10-19T00:00:00"/>
    <d v="2025-10-19T00:00:00"/>
    <n v="0"/>
    <x v="1"/>
    <x v="1"/>
    <s v="Lost my job, need more time"/>
    <n v="0"/>
    <s v="On Time"/>
  </r>
  <r>
    <s v="CUST_0266"/>
    <x v="1"/>
    <x v="0"/>
    <n v="80545"/>
    <n v="4000"/>
    <d v="2025-10-05T00:00:00"/>
    <d v="2025-10-05T00:00:00"/>
    <n v="0"/>
    <x v="2"/>
    <x v="0"/>
    <s v="Will pay next week"/>
    <n v="0"/>
    <s v="On Time"/>
  </r>
  <r>
    <s v="CUST_0267"/>
    <x v="0"/>
    <x v="0"/>
    <n v="98797"/>
    <n v="4700"/>
    <d v="2025-10-29T00:00:00"/>
    <d v="2025-11-13T00:00:00"/>
    <n v="15"/>
    <x v="3"/>
    <x v="1"/>
    <s v="Will clear dues soon"/>
    <n v="1"/>
    <s v="Delayed"/>
  </r>
  <r>
    <s v="CUST_0268"/>
    <x v="1"/>
    <x v="0"/>
    <n v="72307"/>
    <n v="4800"/>
    <d v="2025-10-05T00:00:00"/>
    <d v="2025-10-05T00:00:00"/>
    <n v="0"/>
    <x v="1"/>
    <x v="1"/>
    <s v="Cannot pay right now"/>
    <n v="0"/>
    <s v="On Time"/>
  </r>
  <r>
    <s v="CUST_0269"/>
    <x v="0"/>
    <x v="1"/>
    <n v="23093"/>
    <n v="1100"/>
    <d v="2025-10-20T00:00:00"/>
    <d v="2025-10-20T00:00:00"/>
    <n v="0"/>
    <x v="1"/>
    <x v="1"/>
    <s v="Cannot pay right now"/>
    <n v="0"/>
    <s v="On Time"/>
  </r>
  <r>
    <s v="CUST_0270"/>
    <x v="0"/>
    <x v="0"/>
    <n v="97258"/>
    <n v="5700"/>
    <d v="2025-10-17T00:00:00"/>
    <d v="2025-11-01T00:00:00"/>
    <n v="15"/>
    <x v="3"/>
    <x v="1"/>
    <s v="Need settlement offer"/>
    <n v="1"/>
    <s v="Delayed"/>
  </r>
  <r>
    <s v="CUST_0271"/>
    <x v="1"/>
    <x v="1"/>
    <n v="42042"/>
    <n v="1900"/>
    <d v="2025-10-21T00:00:00"/>
    <d v="2025-10-21T00:00:00"/>
    <n v="0"/>
    <x v="1"/>
    <x v="1"/>
    <s v="Will pay next week"/>
    <n v="0"/>
    <s v="On Time"/>
  </r>
  <r>
    <s v="CUST_0272"/>
    <x v="1"/>
    <x v="0"/>
    <n v="72930"/>
    <n v="3500"/>
    <d v="2025-10-10T00:00:00"/>
    <d v="2025-10-10T00:00:00"/>
    <n v="0"/>
    <x v="1"/>
    <x v="1"/>
    <s v="Paid already"/>
    <n v="0"/>
    <s v="On Time"/>
  </r>
  <r>
    <s v="CUST_0273"/>
    <x v="1"/>
    <x v="1"/>
    <n v="64413"/>
    <n v="3800"/>
    <d v="2025-10-05T00:00:00"/>
    <d v="2025-10-05T00:00:00"/>
    <n v="0"/>
    <x v="2"/>
    <x v="1"/>
    <s v="Cannot pay right now"/>
    <n v="0"/>
    <s v="On Time"/>
  </r>
  <r>
    <s v="CUST_0274"/>
    <x v="1"/>
    <x v="1"/>
    <n v="53756"/>
    <n v="4100"/>
    <d v="2025-10-04T00:00:00"/>
    <d v="2025-10-19T00:00:00"/>
    <n v="15"/>
    <x v="0"/>
    <x v="1"/>
    <s v="Will pay next week"/>
    <n v="1"/>
    <s v="Delayed"/>
  </r>
  <r>
    <s v="CUST_0275"/>
    <x v="0"/>
    <x v="0"/>
    <n v="73268"/>
    <n v="9200"/>
    <d v="2025-10-06T00:00:00"/>
    <d v="2025-10-09T00:00:00"/>
    <n v="3"/>
    <x v="1"/>
    <x v="0"/>
    <s v="Will pay tomorrow"/>
    <n v="1"/>
    <s v="Delayed"/>
  </r>
  <r>
    <s v="CUST_0276"/>
    <x v="0"/>
    <x v="1"/>
    <n v="59214"/>
    <n v="2800"/>
    <d v="2025-10-26T00:00:00"/>
    <d v="2025-10-26T00:00:00"/>
    <n v="0"/>
    <x v="1"/>
    <x v="1"/>
    <s v="No response"/>
    <n v="0"/>
    <s v="On Time"/>
  </r>
  <r>
    <s v="CUST_0277"/>
    <x v="1"/>
    <x v="1"/>
    <n v="48602"/>
    <n v="2700"/>
    <d v="2025-10-04T00:00:00"/>
    <d v="2025-10-04T00:00:00"/>
    <n v="0"/>
    <x v="1"/>
    <x v="1"/>
    <s v="Lost my job, need more time"/>
    <n v="0"/>
    <s v="On Time"/>
  </r>
  <r>
    <s v="CUST_0278"/>
    <x v="0"/>
    <x v="0"/>
    <n v="73331"/>
    <n v="5600"/>
    <d v="2025-10-30T00:00:00"/>
    <d v="2025-10-30T00:00:00"/>
    <n v="0"/>
    <x v="3"/>
    <x v="1"/>
    <s v="Will pay tomorrow"/>
    <n v="0"/>
    <s v="On Time"/>
  </r>
  <r>
    <s v="CUST_0279"/>
    <x v="1"/>
    <x v="0"/>
    <n v="68901"/>
    <n v="6900"/>
    <d v="2025-10-07T00:00:00"/>
    <d v="2025-10-10T00:00:00"/>
    <n v="3"/>
    <x v="3"/>
    <x v="0"/>
    <s v="Will clear dues soon"/>
    <n v="1"/>
    <s v="Delayed"/>
  </r>
  <r>
    <s v="CUST_0280"/>
    <x v="1"/>
    <x v="0"/>
    <n v="83416"/>
    <n v="6400"/>
    <d v="2025-10-07T00:00:00"/>
    <d v="2025-10-14T00:00:00"/>
    <n v="7"/>
    <x v="2"/>
    <x v="1"/>
    <s v="Dispute on EMI amount"/>
    <n v="1"/>
    <s v="Delayed"/>
  </r>
  <r>
    <s v="CUST_0281"/>
    <x v="1"/>
    <x v="0"/>
    <n v="52196"/>
    <n v="3100"/>
    <d v="2025-10-18T00:00:00"/>
    <d v="2025-10-18T00:00:00"/>
    <n v="0"/>
    <x v="3"/>
    <x v="1"/>
    <s v="Need settlement offer"/>
    <n v="0"/>
    <s v="On Time"/>
  </r>
  <r>
    <s v="CUST_0282"/>
    <x v="0"/>
    <x v="0"/>
    <n v="25626"/>
    <n v="4300"/>
    <d v="2025-10-03T00:00:00"/>
    <d v="2025-11-02T00:00:00"/>
    <n v="30"/>
    <x v="2"/>
    <x v="1"/>
    <s v="Please stop calling"/>
    <n v="1"/>
    <s v="Delayed"/>
  </r>
  <r>
    <s v="CUST_0283"/>
    <x v="0"/>
    <x v="1"/>
    <n v="27424"/>
    <n v="2500"/>
    <d v="2025-10-01T00:00:00"/>
    <d v="2025-10-01T00:00:00"/>
    <n v="0"/>
    <x v="0"/>
    <x v="1"/>
    <s v="Will clear dues soon"/>
    <n v="0"/>
    <s v="On Time"/>
  </r>
  <r>
    <s v="CUST_0284"/>
    <x v="2"/>
    <x v="1"/>
    <n v="32857"/>
    <n v="1400"/>
    <d v="2025-10-24T00:00:00"/>
    <d v="2025-10-24T00:00:00"/>
    <n v="0"/>
    <x v="1"/>
    <x v="1"/>
    <s v="Will pay next week"/>
    <n v="0"/>
    <s v="On Time"/>
  </r>
  <r>
    <s v="CUST_0285"/>
    <x v="0"/>
    <x v="1"/>
    <n v="39982"/>
    <n v="3100"/>
    <d v="2025-10-25T00:00:00"/>
    <d v="2025-10-25T00:00:00"/>
    <n v="0"/>
    <x v="1"/>
    <x v="0"/>
    <s v="No response"/>
    <n v="0"/>
    <s v="On Time"/>
  </r>
  <r>
    <s v="CUST_0286"/>
    <x v="2"/>
    <x v="2"/>
    <n v="96961"/>
    <n v="8100"/>
    <d v="2025-10-04T00:00:00"/>
    <d v="2025-10-04T00:00:00"/>
    <n v="0"/>
    <x v="0"/>
    <x v="1"/>
    <s v="Need settlement offer"/>
    <n v="0"/>
    <s v="On Time"/>
  </r>
  <r>
    <s v="CUST_0287"/>
    <x v="0"/>
    <x v="0"/>
    <n v="21980"/>
    <n v="3700"/>
    <d v="2025-10-06T00:00:00"/>
    <d v="2025-10-06T00:00:00"/>
    <n v="0"/>
    <x v="1"/>
    <x v="0"/>
    <s v="Dispute on EMI amount"/>
    <n v="0"/>
    <s v="On Time"/>
  </r>
  <r>
    <s v="CUST_0288"/>
    <x v="0"/>
    <x v="1"/>
    <n v="68290"/>
    <n v="3300"/>
    <d v="2025-10-09T00:00:00"/>
    <d v="2025-10-09T00:00:00"/>
    <n v="0"/>
    <x v="2"/>
    <x v="1"/>
    <s v="Will pay tomorrow"/>
    <n v="0"/>
    <s v="On Time"/>
  </r>
  <r>
    <s v="CUST_0289"/>
    <x v="0"/>
    <x v="1"/>
    <n v="46431"/>
    <n v="2700"/>
    <d v="2025-10-22T00:00:00"/>
    <d v="2025-10-22T00:00:00"/>
    <n v="0"/>
    <x v="3"/>
    <x v="1"/>
    <s v="Will pay next week"/>
    <n v="0"/>
    <s v="On Time"/>
  </r>
  <r>
    <s v="CUST_0290"/>
    <x v="0"/>
    <x v="2"/>
    <n v="46385"/>
    <n v="4200"/>
    <d v="2025-10-14T00:00:00"/>
    <d v="2025-10-17T00:00:00"/>
    <n v="3"/>
    <x v="2"/>
    <x v="1"/>
    <s v="Lost my job, need more time"/>
    <n v="1"/>
    <s v="Delayed"/>
  </r>
  <r>
    <s v="CUST_0291"/>
    <x v="2"/>
    <x v="1"/>
    <n v="58158"/>
    <n v="8300"/>
    <d v="2025-10-28T00:00:00"/>
    <d v="2025-10-28T00:00:00"/>
    <n v="0"/>
    <x v="1"/>
    <x v="1"/>
    <s v="Lost my job, need more time"/>
    <n v="0"/>
    <s v="On Time"/>
  </r>
  <r>
    <s v="CUST_0292"/>
    <x v="2"/>
    <x v="0"/>
    <n v="43019"/>
    <n v="2300"/>
    <d v="2025-10-12T00:00:00"/>
    <d v="2025-10-19T00:00:00"/>
    <n v="7"/>
    <x v="2"/>
    <x v="1"/>
    <s v="Lost my job, need more time"/>
    <n v="1"/>
    <s v="Delayed"/>
  </r>
  <r>
    <s v="CUST_0293"/>
    <x v="1"/>
    <x v="0"/>
    <n v="38639"/>
    <n v="4300"/>
    <d v="2025-10-28T00:00:00"/>
    <d v="2025-12-12T00:00:00"/>
    <n v="45"/>
    <x v="1"/>
    <x v="1"/>
    <s v="Please stop calling"/>
    <n v="1"/>
    <s v="Delayed"/>
  </r>
  <r>
    <s v="CUST_0294"/>
    <x v="0"/>
    <x v="0"/>
    <n v="41563"/>
    <n v="6900"/>
    <d v="2025-10-25T00:00:00"/>
    <d v="2025-10-25T00:00:00"/>
    <n v="0"/>
    <x v="3"/>
    <x v="0"/>
    <s v="Will pay tomorrow"/>
    <n v="0"/>
    <s v="On Time"/>
  </r>
  <r>
    <s v="CUST_0295"/>
    <x v="2"/>
    <x v="1"/>
    <n v="59341"/>
    <n v="2600"/>
    <d v="2025-10-20T00:00:00"/>
    <d v="2025-10-20T00:00:00"/>
    <n v="0"/>
    <x v="1"/>
    <x v="1"/>
    <s v="Will pay tomorrow"/>
    <n v="0"/>
    <s v="On Time"/>
  </r>
  <r>
    <s v="CUST_0296"/>
    <x v="0"/>
    <x v="0"/>
    <n v="25776"/>
    <n v="1400"/>
    <d v="2025-10-24T00:00:00"/>
    <d v="2025-10-24T00:00:00"/>
    <n v="0"/>
    <x v="1"/>
    <x v="1"/>
    <s v="Need settlement offer"/>
    <n v="0"/>
    <s v="On Time"/>
  </r>
  <r>
    <s v="CUST_0297"/>
    <x v="1"/>
    <x v="2"/>
    <n v="56444"/>
    <n v="8100"/>
    <d v="2025-10-25T00:00:00"/>
    <d v="2025-10-25T00:00:00"/>
    <n v="0"/>
    <x v="1"/>
    <x v="1"/>
    <s v="Lost my job, need more time"/>
    <n v="0"/>
    <s v="On Time"/>
  </r>
  <r>
    <s v="CUST_0298"/>
    <x v="0"/>
    <x v="0"/>
    <n v="88916"/>
    <n v="6400"/>
    <d v="2025-10-04T00:00:00"/>
    <d v="2025-10-04T00:00:00"/>
    <n v="0"/>
    <x v="0"/>
    <x v="1"/>
    <s v="No response"/>
    <n v="0"/>
    <s v="On Time"/>
  </r>
  <r>
    <s v="CUST_0299"/>
    <x v="0"/>
    <x v="0"/>
    <n v="28711"/>
    <n v="4100"/>
    <d v="2025-10-21T00:00:00"/>
    <d v="2025-10-28T00:00:00"/>
    <n v="7"/>
    <x v="1"/>
    <x v="1"/>
    <s v="Will clear dues soon"/>
    <n v="1"/>
    <s v="Delayed"/>
  </r>
  <r>
    <s v="CUST_0300"/>
    <x v="2"/>
    <x v="2"/>
    <n v="94318"/>
    <n v="6700"/>
    <d v="2025-10-30T00:00:00"/>
    <d v="2025-11-02T00:00:00"/>
    <n v="3"/>
    <x v="0"/>
    <x v="1"/>
    <s v="No response"/>
    <n v="1"/>
    <s v="Delayed"/>
  </r>
  <r>
    <s v="CUST_0301"/>
    <x v="2"/>
    <x v="0"/>
    <n v="50707"/>
    <n v="8500"/>
    <d v="2025-10-24T00:00:00"/>
    <d v="2025-10-24T00:00:00"/>
    <n v="0"/>
    <x v="0"/>
    <x v="0"/>
    <s v="Paid already"/>
    <n v="0"/>
    <s v="On Time"/>
  </r>
  <r>
    <s v="CUST_0302"/>
    <x v="0"/>
    <x v="1"/>
    <n v="59110"/>
    <n v="3700"/>
    <d v="2025-10-12T00:00:00"/>
    <d v="2025-10-27T00:00:00"/>
    <n v="15"/>
    <x v="1"/>
    <x v="1"/>
    <s v="Please stop calling"/>
    <n v="1"/>
    <s v="Delayed"/>
  </r>
  <r>
    <s v="CUST_0303"/>
    <x v="0"/>
    <x v="0"/>
    <n v="81788"/>
    <n v="10200"/>
    <d v="2025-10-10T00:00:00"/>
    <d v="2025-10-10T00:00:00"/>
    <n v="0"/>
    <x v="1"/>
    <x v="1"/>
    <s v="Will clear dues soon"/>
    <n v="0"/>
    <s v="On Time"/>
  </r>
  <r>
    <s v="CUST_0304"/>
    <x v="0"/>
    <x v="0"/>
    <n v="58827"/>
    <n v="6500"/>
    <d v="2025-10-30T00:00:00"/>
    <d v="2025-11-14T00:00:00"/>
    <n v="15"/>
    <x v="3"/>
    <x v="0"/>
    <s v="Will clear dues soon"/>
    <n v="1"/>
    <s v="Delayed"/>
  </r>
  <r>
    <s v="CUST_0305"/>
    <x v="1"/>
    <x v="1"/>
    <n v="25655"/>
    <n v="1100"/>
    <d v="2025-10-22T00:00:00"/>
    <d v="2025-10-25T00:00:00"/>
    <n v="3"/>
    <x v="2"/>
    <x v="0"/>
    <s v="Will clear dues soon"/>
    <n v="1"/>
    <s v="Delayed"/>
  </r>
  <r>
    <s v="CUST_0306"/>
    <x v="1"/>
    <x v="0"/>
    <n v="64859"/>
    <n v="5900"/>
    <d v="2025-10-28T00:00:00"/>
    <d v="2025-10-31T00:00:00"/>
    <n v="3"/>
    <x v="2"/>
    <x v="0"/>
    <s v="Lost my job, need more time"/>
    <n v="1"/>
    <s v="Delayed"/>
  </r>
  <r>
    <s v="CUST_0307"/>
    <x v="0"/>
    <x v="2"/>
    <n v="73625"/>
    <n v="9200"/>
    <d v="2025-10-07T00:00:00"/>
    <d v="2025-10-07T00:00:00"/>
    <n v="0"/>
    <x v="3"/>
    <x v="1"/>
    <s v="Need settlement offer"/>
    <n v="0"/>
    <s v="On Time"/>
  </r>
  <r>
    <s v="CUST_0308"/>
    <x v="0"/>
    <x v="2"/>
    <n v="72098"/>
    <n v="4500"/>
    <d v="2025-10-03T00:00:00"/>
    <d v="2025-10-03T00:00:00"/>
    <n v="0"/>
    <x v="3"/>
    <x v="1"/>
    <s v="Dispute on EMI amount"/>
    <n v="0"/>
    <s v="On Time"/>
  </r>
  <r>
    <s v="CUST_0309"/>
    <x v="1"/>
    <x v="1"/>
    <n v="35251"/>
    <n v="1800"/>
    <d v="2025-10-23T00:00:00"/>
    <d v="2025-12-07T00:00:00"/>
    <n v="45"/>
    <x v="0"/>
    <x v="0"/>
    <s v="Will clear dues soon"/>
    <n v="1"/>
    <s v="Delayed"/>
  </r>
  <r>
    <s v="CUST_0310"/>
    <x v="0"/>
    <x v="1"/>
    <n v="20526"/>
    <n v="2100"/>
    <d v="2025-10-28T00:00:00"/>
    <d v="2025-10-28T00:00:00"/>
    <n v="0"/>
    <x v="0"/>
    <x v="0"/>
    <s v="Cannot pay right now"/>
    <n v="0"/>
    <s v="On Time"/>
  </r>
  <r>
    <s v="CUST_0311"/>
    <x v="0"/>
    <x v="2"/>
    <n v="88760"/>
    <n v="5900"/>
    <d v="2025-10-14T00:00:00"/>
    <d v="2025-11-28T00:00:00"/>
    <n v="45"/>
    <x v="1"/>
    <x v="1"/>
    <s v="Paid already"/>
    <n v="1"/>
    <s v="Delayed"/>
  </r>
  <r>
    <s v="CUST_0312"/>
    <x v="2"/>
    <x v="0"/>
    <n v="67837"/>
    <n v="4000"/>
    <d v="2025-10-24T00:00:00"/>
    <d v="2025-10-24T00:00:00"/>
    <n v="0"/>
    <x v="2"/>
    <x v="1"/>
    <s v="Lost my job, need more time"/>
    <n v="0"/>
    <s v="On Time"/>
  </r>
  <r>
    <s v="CUST_0313"/>
    <x v="2"/>
    <x v="1"/>
    <n v="31536"/>
    <n v="1600"/>
    <d v="2025-10-10T00:00:00"/>
    <d v="2025-10-10T00:00:00"/>
    <n v="0"/>
    <x v="3"/>
    <x v="1"/>
    <s v="No response"/>
    <n v="0"/>
    <s v="On Time"/>
  </r>
  <r>
    <s v="CUST_0314"/>
    <x v="1"/>
    <x v="2"/>
    <n v="48541"/>
    <n v="2200"/>
    <d v="2025-10-16T00:00:00"/>
    <d v="2025-10-16T00:00:00"/>
    <n v="0"/>
    <x v="3"/>
    <x v="1"/>
    <s v="Lost my job, need more time"/>
    <n v="0"/>
    <s v="On Time"/>
  </r>
  <r>
    <s v="CUST_0315"/>
    <x v="1"/>
    <x v="0"/>
    <n v="99083"/>
    <n v="6600"/>
    <d v="2025-10-16T00:00:00"/>
    <d v="2025-10-16T00:00:00"/>
    <n v="0"/>
    <x v="3"/>
    <x v="1"/>
    <s v="Cannot pay right now"/>
    <n v="0"/>
    <s v="On Time"/>
  </r>
  <r>
    <s v="CUST_0316"/>
    <x v="0"/>
    <x v="0"/>
    <n v="71027"/>
    <n v="6500"/>
    <d v="2025-10-22T00:00:00"/>
    <d v="2025-11-21T00:00:00"/>
    <n v="30"/>
    <x v="3"/>
    <x v="1"/>
    <s v="Please stop calling"/>
    <n v="1"/>
    <s v="Delayed"/>
  </r>
  <r>
    <s v="CUST_0317"/>
    <x v="0"/>
    <x v="0"/>
    <n v="54531"/>
    <n v="2400"/>
    <d v="2025-10-10T00:00:00"/>
    <d v="2025-10-10T00:00:00"/>
    <n v="0"/>
    <x v="3"/>
    <x v="1"/>
    <s v="Dispute on EMI amount"/>
    <n v="0"/>
    <s v="On Time"/>
  </r>
  <r>
    <s v="CUST_0318"/>
    <x v="2"/>
    <x v="1"/>
    <n v="28712"/>
    <n v="1600"/>
    <d v="2025-10-25T00:00:00"/>
    <d v="2025-10-25T00:00:00"/>
    <n v="0"/>
    <x v="0"/>
    <x v="1"/>
    <s v="Please stop calling"/>
    <n v="0"/>
    <s v="On Time"/>
  </r>
  <r>
    <s v="CUST_0319"/>
    <x v="2"/>
    <x v="1"/>
    <n v="85455"/>
    <n v="10700"/>
    <d v="2025-10-13T00:00:00"/>
    <d v="2025-10-13T00:00:00"/>
    <n v="0"/>
    <x v="1"/>
    <x v="1"/>
    <s v="Will pay next week"/>
    <n v="0"/>
    <s v="On Time"/>
  </r>
  <r>
    <s v="CUST_0320"/>
    <x v="0"/>
    <x v="1"/>
    <n v="94744"/>
    <n v="6300"/>
    <d v="2025-10-06T00:00:00"/>
    <d v="2025-10-06T00:00:00"/>
    <n v="0"/>
    <x v="3"/>
    <x v="1"/>
    <s v="Dispute on EMI amount"/>
    <n v="0"/>
    <s v="On Time"/>
  </r>
  <r>
    <s v="CUST_0321"/>
    <x v="0"/>
    <x v="0"/>
    <n v="25109"/>
    <n v="1300"/>
    <d v="2025-10-12T00:00:00"/>
    <d v="2025-10-12T00:00:00"/>
    <n v="0"/>
    <x v="3"/>
    <x v="0"/>
    <s v="Dispute on EMI amount"/>
    <n v="0"/>
    <s v="On Time"/>
  </r>
  <r>
    <s v="CUST_0322"/>
    <x v="1"/>
    <x v="1"/>
    <n v="69268"/>
    <n v="6300"/>
    <d v="2025-10-09T00:00:00"/>
    <d v="2025-10-09T00:00:00"/>
    <n v="0"/>
    <x v="2"/>
    <x v="1"/>
    <s v="Paid already"/>
    <n v="0"/>
    <s v="On Time"/>
  </r>
  <r>
    <s v="CUST_0323"/>
    <x v="0"/>
    <x v="1"/>
    <n v="74615"/>
    <n v="9300"/>
    <d v="2025-10-13T00:00:00"/>
    <d v="2025-10-28T00:00:00"/>
    <n v="15"/>
    <x v="3"/>
    <x v="1"/>
    <s v="Will pay next week"/>
    <n v="1"/>
    <s v="Delayed"/>
  </r>
  <r>
    <s v="CUST_0324"/>
    <x v="0"/>
    <x v="1"/>
    <n v="49759"/>
    <n v="2400"/>
    <d v="2025-10-04T00:00:00"/>
    <d v="2025-10-04T00:00:00"/>
    <n v="0"/>
    <x v="0"/>
    <x v="1"/>
    <s v="Please stop calling"/>
    <n v="0"/>
    <s v="On Time"/>
  </r>
  <r>
    <s v="CUST_0325"/>
    <x v="1"/>
    <x v="0"/>
    <n v="80112"/>
    <n v="6700"/>
    <d v="2025-10-24T00:00:00"/>
    <d v="2025-10-24T00:00:00"/>
    <n v="0"/>
    <x v="2"/>
    <x v="0"/>
    <s v="Will pay tomorrow"/>
    <n v="0"/>
    <s v="On Time"/>
  </r>
  <r>
    <s v="CUST_0326"/>
    <x v="1"/>
    <x v="2"/>
    <n v="46589"/>
    <n v="2500"/>
    <d v="2025-10-11T00:00:00"/>
    <d v="2025-10-11T00:00:00"/>
    <n v="0"/>
    <x v="2"/>
    <x v="1"/>
    <s v="Need settlement offer"/>
    <n v="0"/>
    <s v="On Time"/>
  </r>
  <r>
    <s v="CUST_0327"/>
    <x v="0"/>
    <x v="1"/>
    <n v="50015"/>
    <n v="3600"/>
    <d v="2025-10-20T00:00:00"/>
    <d v="2025-10-20T00:00:00"/>
    <n v="0"/>
    <x v="2"/>
    <x v="1"/>
    <s v="Lost my job, need more time"/>
    <n v="0"/>
    <s v="On Time"/>
  </r>
  <r>
    <s v="CUST_0328"/>
    <x v="0"/>
    <x v="1"/>
    <n v="49009"/>
    <n v="2500"/>
    <d v="2025-10-18T00:00:00"/>
    <d v="2025-12-17T00:00:00"/>
    <n v="60"/>
    <x v="3"/>
    <x v="0"/>
    <s v="No response"/>
    <n v="1"/>
    <s v="Delayed"/>
  </r>
  <r>
    <s v="CUST_0329"/>
    <x v="0"/>
    <x v="0"/>
    <n v="82046"/>
    <n v="10300"/>
    <d v="2025-10-26T00:00:00"/>
    <d v="2025-10-26T00:00:00"/>
    <n v="0"/>
    <x v="1"/>
    <x v="1"/>
    <s v="Please stop calling"/>
    <n v="0"/>
    <s v="On Time"/>
  </r>
  <r>
    <s v="CUST_0330"/>
    <x v="0"/>
    <x v="1"/>
    <n v="46143"/>
    <n v="6600"/>
    <d v="2025-10-11T00:00:00"/>
    <d v="2025-10-11T00:00:00"/>
    <n v="0"/>
    <x v="1"/>
    <x v="1"/>
    <s v="Paid already"/>
    <n v="0"/>
    <s v="On Time"/>
  </r>
  <r>
    <s v="CUST_0331"/>
    <x v="0"/>
    <x v="1"/>
    <n v="26154"/>
    <n v="3700"/>
    <d v="2025-10-25T00:00:00"/>
    <d v="2025-10-28T00:00:00"/>
    <n v="3"/>
    <x v="1"/>
    <x v="1"/>
    <s v="No response"/>
    <n v="1"/>
    <s v="Delayed"/>
  </r>
  <r>
    <s v="CUST_0332"/>
    <x v="1"/>
    <x v="1"/>
    <n v="41804"/>
    <n v="5200"/>
    <d v="2025-10-21T00:00:00"/>
    <d v="2025-10-21T00:00:00"/>
    <n v="0"/>
    <x v="3"/>
    <x v="0"/>
    <s v="No response"/>
    <n v="0"/>
    <s v="On Time"/>
  </r>
  <r>
    <s v="CUST_0333"/>
    <x v="2"/>
    <x v="1"/>
    <n v="61688"/>
    <n v="2700"/>
    <d v="2025-10-04T00:00:00"/>
    <d v="2025-10-04T00:00:00"/>
    <n v="0"/>
    <x v="2"/>
    <x v="1"/>
    <s v="Cannot pay right now"/>
    <n v="0"/>
    <s v="On Time"/>
  </r>
  <r>
    <s v="CUST_0334"/>
    <x v="2"/>
    <x v="1"/>
    <n v="84288"/>
    <n v="4400"/>
    <d v="2025-10-18T00:00:00"/>
    <d v="2025-12-02T00:00:00"/>
    <n v="45"/>
    <x v="2"/>
    <x v="1"/>
    <s v="Will pay tomorrow"/>
    <n v="1"/>
    <s v="Delayed"/>
  </r>
  <r>
    <s v="CUST_0335"/>
    <x v="2"/>
    <x v="1"/>
    <n v="71195"/>
    <n v="3100"/>
    <d v="2025-10-01T00:00:00"/>
    <d v="2025-10-08T00:00:00"/>
    <n v="7"/>
    <x v="0"/>
    <x v="1"/>
    <s v="Need settlement offer"/>
    <n v="1"/>
    <s v="Delayed"/>
  </r>
  <r>
    <s v="CUST_0336"/>
    <x v="2"/>
    <x v="1"/>
    <n v="40581"/>
    <n v="2700"/>
    <d v="2025-10-27T00:00:00"/>
    <d v="2025-12-26T00:00:00"/>
    <n v="60"/>
    <x v="2"/>
    <x v="1"/>
    <s v="Please stop calling"/>
    <n v="1"/>
    <s v="Delayed"/>
  </r>
  <r>
    <s v="CUST_0337"/>
    <x v="1"/>
    <x v="2"/>
    <n v="72648"/>
    <n v="10400"/>
    <d v="2025-10-07T00:00:00"/>
    <d v="2025-10-07T00:00:00"/>
    <n v="0"/>
    <x v="2"/>
    <x v="1"/>
    <s v="Will pay next week"/>
    <n v="0"/>
    <s v="On Time"/>
  </r>
  <r>
    <s v="CUST_0338"/>
    <x v="1"/>
    <x v="1"/>
    <n v="50087"/>
    <n v="8300"/>
    <d v="2025-10-06T00:00:00"/>
    <d v="2025-10-06T00:00:00"/>
    <n v="0"/>
    <x v="1"/>
    <x v="1"/>
    <s v="Lost my job, need more time"/>
    <n v="0"/>
    <s v="On Time"/>
  </r>
  <r>
    <s v="CUST_0339"/>
    <x v="0"/>
    <x v="0"/>
    <n v="69930"/>
    <n v="7800"/>
    <d v="2025-10-15T00:00:00"/>
    <d v="2025-10-15T00:00:00"/>
    <n v="0"/>
    <x v="1"/>
    <x v="1"/>
    <s v="Lost my job, need more time"/>
    <n v="0"/>
    <s v="On Time"/>
  </r>
  <r>
    <s v="CUST_0340"/>
    <x v="2"/>
    <x v="0"/>
    <n v="52981"/>
    <n v="2800"/>
    <d v="2025-10-18T00:00:00"/>
    <d v="2025-10-18T00:00:00"/>
    <n v="0"/>
    <x v="2"/>
    <x v="1"/>
    <s v="Paid already"/>
    <n v="0"/>
    <s v="On Time"/>
  </r>
  <r>
    <s v="CUST_0341"/>
    <x v="0"/>
    <x v="1"/>
    <n v="89298"/>
    <n v="14900"/>
    <d v="2025-10-24T00:00:00"/>
    <d v="2025-11-08T00:00:00"/>
    <n v="15"/>
    <x v="2"/>
    <x v="0"/>
    <s v="Dispute on EMI amount"/>
    <n v="1"/>
    <s v="Delayed"/>
  </r>
  <r>
    <s v="CUST_0342"/>
    <x v="0"/>
    <x v="0"/>
    <n v="66167"/>
    <n v="3500"/>
    <d v="2025-10-11T00:00:00"/>
    <d v="2025-10-11T00:00:00"/>
    <n v="0"/>
    <x v="2"/>
    <x v="1"/>
    <s v="No response"/>
    <n v="0"/>
    <s v="On Time"/>
  </r>
  <r>
    <s v="CUST_0343"/>
    <x v="2"/>
    <x v="1"/>
    <n v="95304"/>
    <n v="4500"/>
    <d v="2025-10-20T00:00:00"/>
    <d v="2025-11-04T00:00:00"/>
    <n v="15"/>
    <x v="0"/>
    <x v="1"/>
    <s v="Cannot pay right now"/>
    <n v="1"/>
    <s v="Delayed"/>
  </r>
  <r>
    <s v="CUST_0344"/>
    <x v="0"/>
    <x v="2"/>
    <n v="63408"/>
    <n v="3300"/>
    <d v="2025-10-24T00:00:00"/>
    <d v="2025-10-31T00:00:00"/>
    <n v="7"/>
    <x v="2"/>
    <x v="1"/>
    <s v="Cannot pay right now"/>
    <n v="1"/>
    <s v="Delayed"/>
  </r>
  <r>
    <s v="CUST_0345"/>
    <x v="0"/>
    <x v="1"/>
    <n v="59499"/>
    <n v="7400"/>
    <d v="2025-10-15T00:00:00"/>
    <d v="2025-10-15T00:00:00"/>
    <n v="0"/>
    <x v="0"/>
    <x v="0"/>
    <s v="Will pay next week"/>
    <n v="0"/>
    <s v="On Time"/>
  </r>
  <r>
    <s v="CUST_0346"/>
    <x v="0"/>
    <x v="1"/>
    <n v="72269"/>
    <n v="9000"/>
    <d v="2025-10-16T00:00:00"/>
    <d v="2025-10-16T00:00:00"/>
    <n v="0"/>
    <x v="2"/>
    <x v="1"/>
    <s v="Cannot pay right now"/>
    <n v="0"/>
    <s v="On Time"/>
  </r>
  <r>
    <s v="CUST_0347"/>
    <x v="0"/>
    <x v="1"/>
    <n v="58559"/>
    <n v="4200"/>
    <d v="2025-10-07T00:00:00"/>
    <d v="2025-10-10T00:00:00"/>
    <n v="3"/>
    <x v="0"/>
    <x v="1"/>
    <s v="No response"/>
    <n v="1"/>
    <s v="Delayed"/>
  </r>
  <r>
    <s v="CUST_0348"/>
    <x v="2"/>
    <x v="2"/>
    <n v="94319"/>
    <n v="8600"/>
    <d v="2025-10-21T00:00:00"/>
    <d v="2025-10-21T00:00:00"/>
    <n v="0"/>
    <x v="1"/>
    <x v="0"/>
    <s v="Will clear dues soon"/>
    <n v="0"/>
    <s v="On Time"/>
  </r>
  <r>
    <s v="CUST_0349"/>
    <x v="0"/>
    <x v="0"/>
    <n v="68787"/>
    <n v="3800"/>
    <d v="2025-10-10T00:00:00"/>
    <d v="2025-10-25T00:00:00"/>
    <n v="15"/>
    <x v="2"/>
    <x v="0"/>
    <s v="Dispute on EMI amount"/>
    <n v="1"/>
    <s v="Delayed"/>
  </r>
  <r>
    <s v="CUST_0350"/>
    <x v="0"/>
    <x v="0"/>
    <n v="55488"/>
    <n v="7900"/>
    <d v="2025-10-26T00:00:00"/>
    <d v="2025-10-26T00:00:00"/>
    <n v="0"/>
    <x v="0"/>
    <x v="0"/>
    <s v="Will clear dues soon"/>
    <n v="0"/>
    <s v="On Time"/>
  </r>
  <r>
    <s v="CUST_0351"/>
    <x v="0"/>
    <x v="1"/>
    <n v="94441"/>
    <n v="7300"/>
    <d v="2025-10-12T00:00:00"/>
    <d v="2025-10-12T00:00:00"/>
    <n v="0"/>
    <x v="3"/>
    <x v="1"/>
    <s v="Dispute on EMI amount"/>
    <n v="0"/>
    <s v="On Time"/>
  </r>
  <r>
    <s v="CUST_0352"/>
    <x v="1"/>
    <x v="0"/>
    <n v="94663"/>
    <n v="13500"/>
    <d v="2025-10-24T00:00:00"/>
    <d v="2025-10-27T00:00:00"/>
    <n v="3"/>
    <x v="0"/>
    <x v="0"/>
    <s v="Will pay tomorrow"/>
    <n v="1"/>
    <s v="Delayed"/>
  </r>
  <r>
    <s v="CUST_0353"/>
    <x v="0"/>
    <x v="1"/>
    <n v="42431"/>
    <n v="4700"/>
    <d v="2025-10-14T00:00:00"/>
    <d v="2025-12-13T00:00:00"/>
    <n v="60"/>
    <x v="1"/>
    <x v="0"/>
    <s v="Will pay tomorrow"/>
    <n v="1"/>
    <s v="Delayed"/>
  </r>
  <r>
    <s v="CUST_0354"/>
    <x v="2"/>
    <x v="0"/>
    <n v="81681"/>
    <n v="4100"/>
    <d v="2025-10-25T00:00:00"/>
    <d v="2025-10-25T00:00:00"/>
    <n v="0"/>
    <x v="3"/>
    <x v="1"/>
    <s v="Will pay next week"/>
    <n v="0"/>
    <s v="On Time"/>
  </r>
  <r>
    <s v="CUST_0355"/>
    <x v="2"/>
    <x v="1"/>
    <n v="83483"/>
    <n v="9300"/>
    <d v="2025-10-05T00:00:00"/>
    <d v="2025-10-20T00:00:00"/>
    <n v="15"/>
    <x v="1"/>
    <x v="1"/>
    <s v="Will clear dues soon"/>
    <n v="1"/>
    <s v="Delayed"/>
  </r>
  <r>
    <s v="CUST_0356"/>
    <x v="0"/>
    <x v="1"/>
    <n v="69153"/>
    <n v="3800"/>
    <d v="2025-10-26T00:00:00"/>
    <d v="2025-10-26T00:00:00"/>
    <n v="0"/>
    <x v="0"/>
    <x v="0"/>
    <s v="Will pay tomorrow"/>
    <n v="0"/>
    <s v="On Time"/>
  </r>
  <r>
    <s v="CUST_0357"/>
    <x v="2"/>
    <x v="1"/>
    <n v="26368"/>
    <n v="1600"/>
    <d v="2025-10-21T00:00:00"/>
    <d v="2025-10-28T00:00:00"/>
    <n v="7"/>
    <x v="3"/>
    <x v="0"/>
    <s v="Will pay tomorrow"/>
    <n v="1"/>
    <s v="Delayed"/>
  </r>
  <r>
    <s v="CUST_0358"/>
    <x v="0"/>
    <x v="1"/>
    <n v="47424"/>
    <n v="2600"/>
    <d v="2025-10-18T00:00:00"/>
    <d v="2025-10-25T00:00:00"/>
    <n v="7"/>
    <x v="2"/>
    <x v="0"/>
    <s v="Will pay tomorrow"/>
    <n v="1"/>
    <s v="Delayed"/>
  </r>
  <r>
    <s v="CUST_0359"/>
    <x v="1"/>
    <x v="0"/>
    <n v="65004"/>
    <n v="3400"/>
    <d v="2025-10-05T00:00:00"/>
    <d v="2025-10-05T00:00:00"/>
    <n v="0"/>
    <x v="1"/>
    <x v="0"/>
    <s v="Lost my job, need more time"/>
    <n v="0"/>
    <s v="On Time"/>
  </r>
  <r>
    <s v="CUST_0360"/>
    <x v="0"/>
    <x v="1"/>
    <n v="76985"/>
    <n v="3300"/>
    <d v="2025-10-03T00:00:00"/>
    <d v="2025-10-03T00:00:00"/>
    <n v="0"/>
    <x v="1"/>
    <x v="1"/>
    <s v="Will pay next week"/>
    <n v="0"/>
    <s v="On Time"/>
  </r>
  <r>
    <s v="CUST_0361"/>
    <x v="0"/>
    <x v="0"/>
    <n v="70069"/>
    <n v="6400"/>
    <d v="2025-10-23T00:00:00"/>
    <d v="2025-10-30T00:00:00"/>
    <n v="7"/>
    <x v="2"/>
    <x v="0"/>
    <s v="Paid already"/>
    <n v="1"/>
    <s v="Delayed"/>
  </r>
  <r>
    <s v="CUST_0362"/>
    <x v="0"/>
    <x v="1"/>
    <n v="72326"/>
    <n v="4500"/>
    <d v="2025-10-26T00:00:00"/>
    <d v="2025-10-26T00:00:00"/>
    <n v="0"/>
    <x v="3"/>
    <x v="0"/>
    <s v="Paid already"/>
    <n v="0"/>
    <s v="On Time"/>
  </r>
  <r>
    <s v="CUST_0363"/>
    <x v="0"/>
    <x v="0"/>
    <n v="43398"/>
    <n v="6200"/>
    <d v="2025-10-05T00:00:00"/>
    <d v="2025-10-12T00:00:00"/>
    <n v="7"/>
    <x v="3"/>
    <x v="1"/>
    <s v="Need settlement offer"/>
    <n v="1"/>
    <s v="Delayed"/>
  </r>
  <r>
    <s v="CUST_0364"/>
    <x v="0"/>
    <x v="1"/>
    <n v="70861"/>
    <n v="7100"/>
    <d v="2025-10-24T00:00:00"/>
    <d v="2025-10-24T00:00:00"/>
    <n v="0"/>
    <x v="2"/>
    <x v="1"/>
    <s v="No response"/>
    <n v="0"/>
    <s v="On Time"/>
  </r>
  <r>
    <s v="CUST_0365"/>
    <x v="1"/>
    <x v="1"/>
    <n v="95897"/>
    <n v="13700"/>
    <d v="2025-10-17T00:00:00"/>
    <d v="2025-11-01T00:00:00"/>
    <n v="15"/>
    <x v="2"/>
    <x v="1"/>
    <s v="Will pay tomorrow"/>
    <n v="1"/>
    <s v="Delayed"/>
  </r>
  <r>
    <s v="CUST_0366"/>
    <x v="0"/>
    <x v="0"/>
    <n v="88577"/>
    <n v="5900"/>
    <d v="2025-10-19T00:00:00"/>
    <d v="2025-10-26T00:00:00"/>
    <n v="7"/>
    <x v="0"/>
    <x v="1"/>
    <s v="Will pay next week"/>
    <n v="1"/>
    <s v="Delayed"/>
  </r>
  <r>
    <s v="CUST_0367"/>
    <x v="1"/>
    <x v="1"/>
    <n v="85641"/>
    <n v="12200"/>
    <d v="2025-10-19T00:00:00"/>
    <d v="2025-11-18T00:00:00"/>
    <n v="30"/>
    <x v="3"/>
    <x v="1"/>
    <s v="Cannot pay right now"/>
    <n v="1"/>
    <s v="Delayed"/>
  </r>
  <r>
    <s v="CUST_0368"/>
    <x v="1"/>
    <x v="1"/>
    <n v="29078"/>
    <n v="1800"/>
    <d v="2025-10-25T00:00:00"/>
    <d v="2025-10-25T00:00:00"/>
    <n v="0"/>
    <x v="1"/>
    <x v="1"/>
    <s v="Will clear dues soon"/>
    <n v="0"/>
    <s v="On Time"/>
  </r>
  <r>
    <s v="CUST_0369"/>
    <x v="2"/>
    <x v="0"/>
    <n v="45003"/>
    <n v="2000"/>
    <d v="2025-10-21T00:00:00"/>
    <d v="2025-10-24T00:00:00"/>
    <n v="3"/>
    <x v="3"/>
    <x v="1"/>
    <s v="Lost my job, need more time"/>
    <n v="1"/>
    <s v="Delayed"/>
  </r>
  <r>
    <s v="CUST_0370"/>
    <x v="2"/>
    <x v="2"/>
    <n v="82768"/>
    <n v="4100"/>
    <d v="2025-10-12T00:00:00"/>
    <d v="2025-10-15T00:00:00"/>
    <n v="3"/>
    <x v="3"/>
    <x v="1"/>
    <s v="Will clear dues soon"/>
    <n v="1"/>
    <s v="Delayed"/>
  </r>
  <r>
    <s v="CUST_0371"/>
    <x v="2"/>
    <x v="1"/>
    <n v="71047"/>
    <n v="5100"/>
    <d v="2025-10-25T00:00:00"/>
    <d v="2025-10-25T00:00:00"/>
    <n v="0"/>
    <x v="2"/>
    <x v="1"/>
    <s v="Will clear dues soon"/>
    <n v="0"/>
    <s v="On Time"/>
  </r>
  <r>
    <s v="CUST_0372"/>
    <x v="2"/>
    <x v="1"/>
    <n v="91626"/>
    <n v="6500"/>
    <d v="2025-10-29T00:00:00"/>
    <d v="2025-10-29T00:00:00"/>
    <n v="0"/>
    <x v="2"/>
    <x v="0"/>
    <s v="Lost my job, need more time"/>
    <n v="0"/>
    <s v="On Time"/>
  </r>
  <r>
    <s v="CUST_0373"/>
    <x v="2"/>
    <x v="0"/>
    <n v="77660"/>
    <n v="9700"/>
    <d v="2025-10-09T00:00:00"/>
    <d v="2025-10-09T00:00:00"/>
    <n v="0"/>
    <x v="1"/>
    <x v="1"/>
    <s v="Will clear dues soon"/>
    <n v="0"/>
    <s v="On Time"/>
  </r>
  <r>
    <s v="CUST_0374"/>
    <x v="0"/>
    <x v="1"/>
    <n v="69786"/>
    <n v="5000"/>
    <d v="2025-10-01T00:00:00"/>
    <d v="2025-10-08T00:00:00"/>
    <n v="7"/>
    <x v="0"/>
    <x v="0"/>
    <s v="Will pay tomorrow"/>
    <n v="1"/>
    <s v="Delayed"/>
  </r>
  <r>
    <s v="CUST_0375"/>
    <x v="2"/>
    <x v="1"/>
    <n v="21925"/>
    <n v="1200"/>
    <d v="2025-10-18T00:00:00"/>
    <d v="2025-10-18T00:00:00"/>
    <n v="0"/>
    <x v="1"/>
    <x v="1"/>
    <s v="Lost my job, need more time"/>
    <n v="0"/>
    <s v="On Time"/>
  </r>
  <r>
    <s v="CUST_0376"/>
    <x v="0"/>
    <x v="1"/>
    <n v="46015"/>
    <n v="3800"/>
    <d v="2025-10-21T00:00:00"/>
    <d v="2025-10-21T00:00:00"/>
    <n v="0"/>
    <x v="0"/>
    <x v="1"/>
    <s v="Paid already"/>
    <n v="0"/>
    <s v="On Time"/>
  </r>
  <r>
    <s v="CUST_0377"/>
    <x v="1"/>
    <x v="0"/>
    <n v="53320"/>
    <n v="2500"/>
    <d v="2025-10-04T00:00:00"/>
    <d v="2025-10-07T00:00:00"/>
    <n v="3"/>
    <x v="0"/>
    <x v="1"/>
    <s v="Will pay next week"/>
    <n v="1"/>
    <s v="Delayed"/>
  </r>
  <r>
    <s v="CUST_0378"/>
    <x v="2"/>
    <x v="0"/>
    <n v="84881"/>
    <n v="4000"/>
    <d v="2025-10-10T00:00:00"/>
    <d v="2025-10-10T00:00:00"/>
    <n v="0"/>
    <x v="2"/>
    <x v="0"/>
    <s v="Paid already"/>
    <n v="0"/>
    <s v="On Time"/>
  </r>
  <r>
    <s v="CUST_0379"/>
    <x v="1"/>
    <x v="1"/>
    <n v="46289"/>
    <n v="7700"/>
    <d v="2025-10-25T00:00:00"/>
    <d v="2025-10-25T00:00:00"/>
    <n v="0"/>
    <x v="1"/>
    <x v="1"/>
    <s v="Will pay next week"/>
    <n v="0"/>
    <s v="On Time"/>
  </r>
  <r>
    <s v="CUST_0380"/>
    <x v="0"/>
    <x v="1"/>
    <n v="23389"/>
    <n v="2600"/>
    <d v="2025-10-07T00:00:00"/>
    <d v="2025-11-21T00:00:00"/>
    <n v="45"/>
    <x v="1"/>
    <x v="1"/>
    <s v="Please stop calling"/>
    <n v="1"/>
    <s v="Delayed"/>
  </r>
  <r>
    <s v="CUST_0381"/>
    <x v="2"/>
    <x v="1"/>
    <n v="45683"/>
    <n v="5100"/>
    <d v="2025-10-22T00:00:00"/>
    <d v="2025-12-06T00:00:00"/>
    <n v="45"/>
    <x v="3"/>
    <x v="1"/>
    <s v="Need settlement offer"/>
    <n v="1"/>
    <s v="Delayed"/>
  </r>
  <r>
    <s v="CUST_0382"/>
    <x v="0"/>
    <x v="0"/>
    <n v="33629"/>
    <n v="2800"/>
    <d v="2025-10-23T00:00:00"/>
    <d v="2025-10-23T00:00:00"/>
    <n v="0"/>
    <x v="1"/>
    <x v="1"/>
    <s v="Dispute on EMI amount"/>
    <n v="0"/>
    <s v="On Time"/>
  </r>
  <r>
    <s v="CUST_0383"/>
    <x v="0"/>
    <x v="1"/>
    <n v="81550"/>
    <n v="6300"/>
    <d v="2025-10-01T00:00:00"/>
    <d v="2025-10-01T00:00:00"/>
    <n v="0"/>
    <x v="3"/>
    <x v="1"/>
    <s v="Will clear dues soon"/>
    <n v="0"/>
    <s v="On Time"/>
  </r>
  <r>
    <s v="CUST_0384"/>
    <x v="1"/>
    <x v="1"/>
    <n v="44826"/>
    <n v="2000"/>
    <d v="2025-10-17T00:00:00"/>
    <d v="2025-10-24T00:00:00"/>
    <n v="7"/>
    <x v="2"/>
    <x v="1"/>
    <s v="No response"/>
    <n v="1"/>
    <s v="Delayed"/>
  </r>
  <r>
    <s v="CUST_0385"/>
    <x v="1"/>
    <x v="0"/>
    <n v="46630"/>
    <n v="4700"/>
    <d v="2025-10-24T00:00:00"/>
    <d v="2025-10-24T00:00:00"/>
    <n v="0"/>
    <x v="1"/>
    <x v="1"/>
    <s v="Will pay next week"/>
    <n v="0"/>
    <s v="On Time"/>
  </r>
  <r>
    <s v="CUST_0386"/>
    <x v="1"/>
    <x v="1"/>
    <n v="66163"/>
    <n v="5500"/>
    <d v="2025-10-29T00:00:00"/>
    <d v="2025-10-29T00:00:00"/>
    <n v="0"/>
    <x v="3"/>
    <x v="1"/>
    <s v="No response"/>
    <n v="0"/>
    <s v="On Time"/>
  </r>
  <r>
    <s v="CUST_0387"/>
    <x v="0"/>
    <x v="0"/>
    <n v="86435"/>
    <n v="9600"/>
    <d v="2025-10-29T00:00:00"/>
    <d v="2025-10-29T00:00:00"/>
    <n v="0"/>
    <x v="3"/>
    <x v="0"/>
    <s v="Need settlement offer"/>
    <n v="0"/>
    <s v="On Time"/>
  </r>
  <r>
    <s v="CUST_0388"/>
    <x v="2"/>
    <x v="1"/>
    <n v="31653"/>
    <n v="2900"/>
    <d v="2025-10-02T00:00:00"/>
    <d v="2025-10-02T00:00:00"/>
    <n v="0"/>
    <x v="0"/>
    <x v="1"/>
    <s v="Dispute on EMI amount"/>
    <n v="0"/>
    <s v="On Time"/>
  </r>
  <r>
    <s v="CUST_0389"/>
    <x v="1"/>
    <x v="1"/>
    <n v="47961"/>
    <n v="4000"/>
    <d v="2025-10-28T00:00:00"/>
    <d v="2025-10-31T00:00:00"/>
    <n v="3"/>
    <x v="1"/>
    <x v="1"/>
    <s v="Cannot pay right now"/>
    <n v="1"/>
    <s v="Delayed"/>
  </r>
  <r>
    <s v="CUST_0390"/>
    <x v="1"/>
    <x v="1"/>
    <n v="94137"/>
    <n v="4100"/>
    <d v="2025-10-26T00:00:00"/>
    <d v="2025-10-26T00:00:00"/>
    <n v="0"/>
    <x v="3"/>
    <x v="1"/>
    <s v="Please stop calling"/>
    <n v="0"/>
    <s v="On Time"/>
  </r>
  <r>
    <s v="CUST_0391"/>
    <x v="1"/>
    <x v="0"/>
    <n v="53662"/>
    <n v="5400"/>
    <d v="2025-10-11T00:00:00"/>
    <d v="2025-10-14T00:00:00"/>
    <n v="3"/>
    <x v="1"/>
    <x v="0"/>
    <s v="Need settlement offer"/>
    <n v="1"/>
    <s v="Delayed"/>
  </r>
  <r>
    <s v="CUST_0392"/>
    <x v="0"/>
    <x v="0"/>
    <n v="76446"/>
    <n v="9600"/>
    <d v="2025-10-09T00:00:00"/>
    <d v="2025-11-08T00:00:00"/>
    <n v="30"/>
    <x v="2"/>
    <x v="1"/>
    <s v="Will clear dues soon"/>
    <n v="1"/>
    <s v="Delayed"/>
  </r>
  <r>
    <s v="CUST_0393"/>
    <x v="0"/>
    <x v="0"/>
    <n v="41288"/>
    <n v="3400"/>
    <d v="2025-10-07T00:00:00"/>
    <d v="2025-10-07T00:00:00"/>
    <n v="0"/>
    <x v="2"/>
    <x v="1"/>
    <s v="Lost my job, need more time"/>
    <n v="0"/>
    <s v="On Time"/>
  </r>
  <r>
    <s v="CUST_0394"/>
    <x v="1"/>
    <x v="1"/>
    <n v="56877"/>
    <n v="3000"/>
    <d v="2025-10-22T00:00:00"/>
    <d v="2025-10-29T00:00:00"/>
    <n v="7"/>
    <x v="0"/>
    <x v="1"/>
    <s v="Will pay tomorrow"/>
    <n v="1"/>
    <s v="Delayed"/>
  </r>
  <r>
    <s v="CUST_0395"/>
    <x v="0"/>
    <x v="0"/>
    <n v="35313"/>
    <n v="2900"/>
    <d v="2025-10-17T00:00:00"/>
    <d v="2025-11-16T00:00:00"/>
    <n v="30"/>
    <x v="1"/>
    <x v="1"/>
    <s v="Will clear dues soon"/>
    <n v="1"/>
    <s v="Delayed"/>
  </r>
  <r>
    <s v="CUST_0396"/>
    <x v="1"/>
    <x v="1"/>
    <n v="92715"/>
    <n v="9300"/>
    <d v="2025-10-17T00:00:00"/>
    <d v="2025-10-17T00:00:00"/>
    <n v="0"/>
    <x v="2"/>
    <x v="1"/>
    <s v="Will clear dues soon"/>
    <n v="0"/>
    <s v="On Time"/>
  </r>
  <r>
    <s v="CUST_0397"/>
    <x v="1"/>
    <x v="1"/>
    <n v="30326"/>
    <n v="3000"/>
    <d v="2025-10-02T00:00:00"/>
    <d v="2025-10-02T00:00:00"/>
    <n v="0"/>
    <x v="1"/>
    <x v="1"/>
    <s v="Please stop calling"/>
    <n v="0"/>
    <s v="On Time"/>
  </r>
  <r>
    <s v="CUST_0398"/>
    <x v="0"/>
    <x v="0"/>
    <n v="21560"/>
    <n v="3100"/>
    <d v="2025-10-06T00:00:00"/>
    <d v="2025-10-09T00:00:00"/>
    <n v="3"/>
    <x v="0"/>
    <x v="1"/>
    <s v="Will pay next week"/>
    <n v="1"/>
    <s v="Delayed"/>
  </r>
  <r>
    <s v="CUST_0399"/>
    <x v="1"/>
    <x v="1"/>
    <n v="99148"/>
    <n v="9000"/>
    <d v="2025-10-14T00:00:00"/>
    <d v="2025-10-17T00:00:00"/>
    <n v="3"/>
    <x v="3"/>
    <x v="0"/>
    <s v="Dispute on EMI amount"/>
    <n v="1"/>
    <s v="Delayed"/>
  </r>
  <r>
    <s v="CUST_0400"/>
    <x v="1"/>
    <x v="1"/>
    <n v="46745"/>
    <n v="2300"/>
    <d v="2025-10-06T00:00:00"/>
    <d v="2025-10-21T00:00:00"/>
    <n v="15"/>
    <x v="3"/>
    <x v="1"/>
    <s v="Need settlement offer"/>
    <n v="1"/>
    <s v="Delayed"/>
  </r>
  <r>
    <s v="CUST_0401"/>
    <x v="2"/>
    <x v="1"/>
    <n v="51890"/>
    <n v="3500"/>
    <d v="2025-10-02T00:00:00"/>
    <d v="2025-10-02T00:00:00"/>
    <n v="0"/>
    <x v="3"/>
    <x v="1"/>
    <s v="Need settlement offer"/>
    <n v="0"/>
    <s v="On Time"/>
  </r>
  <r>
    <s v="CUST_0402"/>
    <x v="1"/>
    <x v="1"/>
    <n v="40022"/>
    <n v="3300"/>
    <d v="2025-10-01T00:00:00"/>
    <d v="2025-11-30T00:00:00"/>
    <n v="60"/>
    <x v="1"/>
    <x v="1"/>
    <s v="Need settlement offer"/>
    <n v="1"/>
    <s v="Delayed"/>
  </r>
  <r>
    <s v="CUST_0403"/>
    <x v="0"/>
    <x v="1"/>
    <n v="72579"/>
    <n v="7300"/>
    <d v="2025-10-10T00:00:00"/>
    <d v="2025-10-10T00:00:00"/>
    <n v="0"/>
    <x v="1"/>
    <x v="1"/>
    <s v="Lost my job, need more time"/>
    <n v="0"/>
    <s v="On Time"/>
  </r>
  <r>
    <s v="CUST_0404"/>
    <x v="1"/>
    <x v="0"/>
    <n v="90316"/>
    <n v="15100"/>
    <d v="2025-10-21T00:00:00"/>
    <d v="2025-10-21T00:00:00"/>
    <n v="0"/>
    <x v="1"/>
    <x v="1"/>
    <s v="Will pay tomorrow"/>
    <n v="0"/>
    <s v="On Time"/>
  </r>
  <r>
    <s v="CUST_0405"/>
    <x v="0"/>
    <x v="1"/>
    <n v="48380"/>
    <n v="2700"/>
    <d v="2025-10-05T00:00:00"/>
    <d v="2025-10-08T00:00:00"/>
    <n v="3"/>
    <x v="0"/>
    <x v="0"/>
    <s v="Will clear dues soon"/>
    <n v="1"/>
    <s v="Delayed"/>
  </r>
  <r>
    <s v="CUST_0406"/>
    <x v="1"/>
    <x v="0"/>
    <n v="22356"/>
    <n v="1000"/>
    <d v="2025-10-02T00:00:00"/>
    <d v="2025-10-02T00:00:00"/>
    <n v="0"/>
    <x v="1"/>
    <x v="0"/>
    <s v="No response"/>
    <n v="0"/>
    <s v="On Time"/>
  </r>
  <r>
    <s v="CUST_0407"/>
    <x v="0"/>
    <x v="0"/>
    <n v="90326"/>
    <n v="5000"/>
    <d v="2025-10-22T00:00:00"/>
    <d v="2025-10-22T00:00:00"/>
    <n v="0"/>
    <x v="3"/>
    <x v="0"/>
    <s v="Will pay next week"/>
    <n v="0"/>
    <s v="On Time"/>
  </r>
  <r>
    <s v="CUST_0408"/>
    <x v="2"/>
    <x v="1"/>
    <n v="40049"/>
    <n v="1700"/>
    <d v="2025-10-16T00:00:00"/>
    <d v="2025-10-16T00:00:00"/>
    <n v="0"/>
    <x v="3"/>
    <x v="0"/>
    <s v="Please stop calling"/>
    <n v="0"/>
    <s v="On Time"/>
  </r>
  <r>
    <s v="CUST_0409"/>
    <x v="1"/>
    <x v="1"/>
    <n v="95717"/>
    <n v="9600"/>
    <d v="2025-10-25T00:00:00"/>
    <d v="2025-10-25T00:00:00"/>
    <n v="0"/>
    <x v="2"/>
    <x v="1"/>
    <s v="Need settlement offer"/>
    <n v="0"/>
    <s v="On Time"/>
  </r>
  <r>
    <s v="CUST_0410"/>
    <x v="2"/>
    <x v="1"/>
    <n v="36082"/>
    <n v="2000"/>
    <d v="2025-10-02T00:00:00"/>
    <d v="2025-10-02T00:00:00"/>
    <n v="0"/>
    <x v="2"/>
    <x v="0"/>
    <s v="Dispute on EMI amount"/>
    <n v="0"/>
    <s v="On Time"/>
  </r>
  <r>
    <s v="CUST_0411"/>
    <x v="0"/>
    <x v="0"/>
    <n v="20661"/>
    <n v="2300"/>
    <d v="2025-10-10T00:00:00"/>
    <d v="2025-11-24T00:00:00"/>
    <n v="45"/>
    <x v="1"/>
    <x v="1"/>
    <s v="Will pay next week"/>
    <n v="1"/>
    <s v="Delayed"/>
  </r>
  <r>
    <s v="CUST_0412"/>
    <x v="1"/>
    <x v="1"/>
    <n v="57412"/>
    <n v="2600"/>
    <d v="2025-10-02T00:00:00"/>
    <d v="2025-10-02T00:00:00"/>
    <n v="0"/>
    <x v="0"/>
    <x v="1"/>
    <s v="Will pay next week"/>
    <n v="0"/>
    <s v="On Time"/>
  </r>
  <r>
    <s v="CUST_0413"/>
    <x v="1"/>
    <x v="0"/>
    <n v="22920"/>
    <n v="2900"/>
    <d v="2025-10-16T00:00:00"/>
    <d v="2025-10-23T00:00:00"/>
    <n v="7"/>
    <x v="3"/>
    <x v="1"/>
    <s v="Please stop calling"/>
    <n v="1"/>
    <s v="Delayed"/>
  </r>
  <r>
    <s v="CUST_0414"/>
    <x v="0"/>
    <x v="1"/>
    <n v="80315"/>
    <n v="3700"/>
    <d v="2025-10-16T00:00:00"/>
    <d v="2025-10-23T00:00:00"/>
    <n v="7"/>
    <x v="2"/>
    <x v="1"/>
    <s v="Will pay tomorrow"/>
    <n v="1"/>
    <s v="Delayed"/>
  </r>
  <r>
    <s v="CUST_0415"/>
    <x v="0"/>
    <x v="0"/>
    <n v="99561"/>
    <n v="6200"/>
    <d v="2025-10-19T00:00:00"/>
    <d v="2025-11-18T00:00:00"/>
    <n v="30"/>
    <x v="1"/>
    <x v="1"/>
    <s v="Please stop calling"/>
    <n v="1"/>
    <s v="Delayed"/>
  </r>
  <r>
    <s v="CUST_0416"/>
    <x v="0"/>
    <x v="1"/>
    <n v="28946"/>
    <n v="3200"/>
    <d v="2025-10-29T00:00:00"/>
    <d v="2025-10-29T00:00:00"/>
    <n v="0"/>
    <x v="2"/>
    <x v="0"/>
    <s v="Will clear dues soon"/>
    <n v="0"/>
    <s v="On Time"/>
  </r>
  <r>
    <s v="CUST_0417"/>
    <x v="0"/>
    <x v="1"/>
    <n v="65500"/>
    <n v="9400"/>
    <d v="2025-10-07T00:00:00"/>
    <d v="2025-11-06T00:00:00"/>
    <n v="30"/>
    <x v="3"/>
    <x v="1"/>
    <s v="Please stop calling"/>
    <n v="1"/>
    <s v="Delayed"/>
  </r>
  <r>
    <s v="CUST_0418"/>
    <x v="0"/>
    <x v="2"/>
    <n v="36309"/>
    <n v="1700"/>
    <d v="2025-10-22T00:00:00"/>
    <d v="2025-10-22T00:00:00"/>
    <n v="0"/>
    <x v="2"/>
    <x v="0"/>
    <s v="Cannot pay right now"/>
    <n v="0"/>
    <s v="On Time"/>
  </r>
  <r>
    <s v="CUST_0419"/>
    <x v="0"/>
    <x v="0"/>
    <n v="75230"/>
    <n v="3300"/>
    <d v="2025-10-12T00:00:00"/>
    <d v="2025-10-15T00:00:00"/>
    <n v="3"/>
    <x v="3"/>
    <x v="1"/>
    <s v="Dispute on EMI amount"/>
    <n v="1"/>
    <s v="Delayed"/>
  </r>
  <r>
    <s v="CUST_0420"/>
    <x v="1"/>
    <x v="1"/>
    <n v="50027"/>
    <n v="3800"/>
    <d v="2025-10-24T00:00:00"/>
    <d v="2025-10-27T00:00:00"/>
    <n v="3"/>
    <x v="0"/>
    <x v="1"/>
    <s v="Need settlement offer"/>
    <n v="1"/>
    <s v="Delayed"/>
  </r>
  <r>
    <s v="CUST_0421"/>
    <x v="1"/>
    <x v="0"/>
    <n v="92541"/>
    <n v="11600"/>
    <d v="2025-10-15T00:00:00"/>
    <d v="2025-10-30T00:00:00"/>
    <n v="15"/>
    <x v="3"/>
    <x v="0"/>
    <s v="No response"/>
    <n v="1"/>
    <s v="Delayed"/>
  </r>
  <r>
    <s v="CUST_0422"/>
    <x v="1"/>
    <x v="1"/>
    <n v="79321"/>
    <n v="5700"/>
    <d v="2025-10-08T00:00:00"/>
    <d v="2025-10-08T00:00:00"/>
    <n v="0"/>
    <x v="2"/>
    <x v="0"/>
    <s v="Will clear dues soon"/>
    <n v="0"/>
    <s v="On Time"/>
  </r>
  <r>
    <s v="CUST_0423"/>
    <x v="2"/>
    <x v="0"/>
    <n v="20956"/>
    <n v="1900"/>
    <d v="2025-10-06T00:00:00"/>
    <d v="2025-10-13T00:00:00"/>
    <n v="7"/>
    <x v="2"/>
    <x v="1"/>
    <s v="Lost my job, need more time"/>
    <n v="1"/>
    <s v="Delayed"/>
  </r>
  <r>
    <s v="CUST_0424"/>
    <x v="0"/>
    <x v="0"/>
    <n v="94131"/>
    <n v="6300"/>
    <d v="2025-10-28T00:00:00"/>
    <d v="2025-10-28T00:00:00"/>
    <n v="0"/>
    <x v="0"/>
    <x v="1"/>
    <s v="Will clear dues soon"/>
    <n v="0"/>
    <s v="On Time"/>
  </r>
  <r>
    <s v="CUST_0425"/>
    <x v="2"/>
    <x v="1"/>
    <n v="67908"/>
    <n v="4500"/>
    <d v="2025-10-27T00:00:00"/>
    <d v="2025-11-03T00:00:00"/>
    <n v="7"/>
    <x v="3"/>
    <x v="1"/>
    <s v="Please stop calling"/>
    <n v="1"/>
    <s v="Delayed"/>
  </r>
  <r>
    <s v="CUST_0426"/>
    <x v="0"/>
    <x v="1"/>
    <n v="98339"/>
    <n v="5500"/>
    <d v="2025-10-10T00:00:00"/>
    <d v="2025-12-09T00:00:00"/>
    <n v="60"/>
    <x v="3"/>
    <x v="1"/>
    <s v="Paid already"/>
    <n v="1"/>
    <s v="Delayed"/>
  </r>
  <r>
    <s v="CUST_0427"/>
    <x v="0"/>
    <x v="1"/>
    <n v="45963"/>
    <n v="2100"/>
    <d v="2025-10-03T00:00:00"/>
    <d v="2025-10-03T00:00:00"/>
    <n v="0"/>
    <x v="3"/>
    <x v="0"/>
    <s v="Need settlement offer"/>
    <n v="0"/>
    <s v="On Time"/>
  </r>
  <r>
    <s v="CUST_0428"/>
    <x v="1"/>
    <x v="0"/>
    <n v="59443"/>
    <n v="4200"/>
    <d v="2025-10-19T00:00:00"/>
    <d v="2025-12-18T00:00:00"/>
    <n v="60"/>
    <x v="3"/>
    <x v="1"/>
    <s v="Lost my job, need more time"/>
    <n v="1"/>
    <s v="Delayed"/>
  </r>
  <r>
    <s v="CUST_0429"/>
    <x v="0"/>
    <x v="0"/>
    <n v="59063"/>
    <n v="2700"/>
    <d v="2025-10-17T00:00:00"/>
    <d v="2025-10-17T00:00:00"/>
    <n v="0"/>
    <x v="3"/>
    <x v="1"/>
    <s v="Will clear dues soon"/>
    <n v="0"/>
    <s v="On Time"/>
  </r>
  <r>
    <s v="CUST_0430"/>
    <x v="2"/>
    <x v="1"/>
    <n v="24703"/>
    <n v="1800"/>
    <d v="2025-10-07T00:00:00"/>
    <d v="2025-10-07T00:00:00"/>
    <n v="0"/>
    <x v="1"/>
    <x v="1"/>
    <s v="Paid already"/>
    <n v="0"/>
    <s v="On Time"/>
  </r>
  <r>
    <s v="CUST_0431"/>
    <x v="2"/>
    <x v="1"/>
    <n v="85128"/>
    <n v="6100"/>
    <d v="2025-10-21T00:00:00"/>
    <d v="2025-10-21T00:00:00"/>
    <n v="0"/>
    <x v="3"/>
    <x v="1"/>
    <s v="No response"/>
    <n v="0"/>
    <s v="On Time"/>
  </r>
  <r>
    <s v="CUST_0432"/>
    <x v="1"/>
    <x v="0"/>
    <n v="92099"/>
    <n v="15300"/>
    <d v="2025-10-20T00:00:00"/>
    <d v="2025-10-20T00:00:00"/>
    <n v="0"/>
    <x v="3"/>
    <x v="1"/>
    <s v="Will pay tomorrow"/>
    <n v="0"/>
    <s v="On Time"/>
  </r>
  <r>
    <s v="CUST_0433"/>
    <x v="0"/>
    <x v="2"/>
    <n v="45849"/>
    <n v="6500"/>
    <d v="2025-10-26T00:00:00"/>
    <d v="2025-10-29T00:00:00"/>
    <n v="3"/>
    <x v="1"/>
    <x v="1"/>
    <s v="No response"/>
    <n v="1"/>
    <s v="Delayed"/>
  </r>
  <r>
    <s v="CUST_0434"/>
    <x v="2"/>
    <x v="0"/>
    <n v="51860"/>
    <n v="2500"/>
    <d v="2025-10-04T00:00:00"/>
    <d v="2025-10-04T00:00:00"/>
    <n v="0"/>
    <x v="2"/>
    <x v="1"/>
    <s v="No response"/>
    <n v="0"/>
    <s v="On Time"/>
  </r>
  <r>
    <s v="CUST_0435"/>
    <x v="2"/>
    <x v="1"/>
    <n v="51585"/>
    <n v="8600"/>
    <d v="2025-10-14T00:00:00"/>
    <d v="2025-10-14T00:00:00"/>
    <n v="0"/>
    <x v="2"/>
    <x v="0"/>
    <s v="Please stop calling"/>
    <n v="0"/>
    <s v="On Time"/>
  </r>
  <r>
    <s v="CUST_0436"/>
    <x v="1"/>
    <x v="1"/>
    <n v="42015"/>
    <n v="2800"/>
    <d v="2025-10-20T00:00:00"/>
    <d v="2025-11-19T00:00:00"/>
    <n v="30"/>
    <x v="3"/>
    <x v="1"/>
    <s v="Please stop calling"/>
    <n v="1"/>
    <s v="Delayed"/>
  </r>
  <r>
    <s v="CUST_0437"/>
    <x v="2"/>
    <x v="1"/>
    <n v="97539"/>
    <n v="4200"/>
    <d v="2025-10-22T00:00:00"/>
    <d v="2025-11-06T00:00:00"/>
    <n v="15"/>
    <x v="0"/>
    <x v="1"/>
    <s v="Dispute on EMI amount"/>
    <n v="1"/>
    <s v="Delayed"/>
  </r>
  <r>
    <s v="CUST_0438"/>
    <x v="1"/>
    <x v="2"/>
    <n v="63585"/>
    <n v="4900"/>
    <d v="2025-10-15T00:00:00"/>
    <d v="2025-10-30T00:00:00"/>
    <n v="15"/>
    <x v="3"/>
    <x v="0"/>
    <s v="Please stop calling"/>
    <n v="1"/>
    <s v="Delayed"/>
  </r>
  <r>
    <s v="CUST_0439"/>
    <x v="1"/>
    <x v="1"/>
    <n v="46958"/>
    <n v="2900"/>
    <d v="2025-10-24T00:00:00"/>
    <d v="2025-11-23T00:00:00"/>
    <n v="30"/>
    <x v="0"/>
    <x v="1"/>
    <s v="Cannot pay right now"/>
    <n v="1"/>
    <s v="Delayed"/>
  </r>
  <r>
    <s v="CUST_0440"/>
    <x v="2"/>
    <x v="0"/>
    <n v="46017"/>
    <n v="6600"/>
    <d v="2025-10-08T00:00:00"/>
    <d v="2025-10-15T00:00:00"/>
    <n v="7"/>
    <x v="1"/>
    <x v="1"/>
    <s v="No response"/>
    <n v="1"/>
    <s v="Delayed"/>
  </r>
  <r>
    <s v="CUST_0441"/>
    <x v="2"/>
    <x v="1"/>
    <n v="96707"/>
    <n v="7400"/>
    <d v="2025-10-21T00:00:00"/>
    <d v="2025-10-21T00:00:00"/>
    <n v="0"/>
    <x v="3"/>
    <x v="1"/>
    <s v="Lost my job, need more time"/>
    <n v="0"/>
    <s v="On Time"/>
  </r>
  <r>
    <s v="CUST_0442"/>
    <x v="1"/>
    <x v="0"/>
    <n v="65350"/>
    <n v="5000"/>
    <d v="2025-10-15T00:00:00"/>
    <d v="2025-10-15T00:00:00"/>
    <n v="0"/>
    <x v="0"/>
    <x v="0"/>
    <s v="Cannot pay right now"/>
    <n v="0"/>
    <s v="On Time"/>
  </r>
  <r>
    <s v="CUST_0443"/>
    <x v="0"/>
    <x v="0"/>
    <n v="32201"/>
    <n v="1500"/>
    <d v="2025-10-22T00:00:00"/>
    <d v="2025-10-29T00:00:00"/>
    <n v="7"/>
    <x v="3"/>
    <x v="1"/>
    <s v="No response"/>
    <n v="1"/>
    <s v="Delayed"/>
  </r>
  <r>
    <s v="CUST_0444"/>
    <x v="0"/>
    <x v="0"/>
    <n v="49426"/>
    <n v="2500"/>
    <d v="2025-10-20T00:00:00"/>
    <d v="2025-10-20T00:00:00"/>
    <n v="0"/>
    <x v="3"/>
    <x v="0"/>
    <s v="Need settlement offer"/>
    <n v="0"/>
    <s v="On Time"/>
  </r>
  <r>
    <s v="CUST_0445"/>
    <x v="1"/>
    <x v="1"/>
    <n v="37778"/>
    <n v="1700"/>
    <d v="2025-10-28T00:00:00"/>
    <d v="2025-10-31T00:00:00"/>
    <n v="3"/>
    <x v="1"/>
    <x v="1"/>
    <s v="Paid already"/>
    <n v="1"/>
    <s v="Delayed"/>
  </r>
  <r>
    <s v="CUST_0446"/>
    <x v="1"/>
    <x v="1"/>
    <n v="65241"/>
    <n v="3600"/>
    <d v="2025-10-14T00:00:00"/>
    <d v="2025-10-14T00:00:00"/>
    <n v="0"/>
    <x v="1"/>
    <x v="0"/>
    <s v="No response"/>
    <n v="0"/>
    <s v="On Time"/>
  </r>
  <r>
    <s v="CUST_0447"/>
    <x v="1"/>
    <x v="1"/>
    <n v="62229"/>
    <n v="6200"/>
    <d v="2025-10-27T00:00:00"/>
    <d v="2025-10-27T00:00:00"/>
    <n v="0"/>
    <x v="1"/>
    <x v="1"/>
    <s v="Will clear dues soon"/>
    <n v="0"/>
    <s v="On Time"/>
  </r>
  <r>
    <s v="CUST_0448"/>
    <x v="1"/>
    <x v="2"/>
    <n v="68364"/>
    <n v="4000"/>
    <d v="2025-10-29T00:00:00"/>
    <d v="2025-10-29T00:00:00"/>
    <n v="0"/>
    <x v="3"/>
    <x v="1"/>
    <s v="Cannot pay right now"/>
    <n v="0"/>
    <s v="On Time"/>
  </r>
  <r>
    <s v="CUST_0449"/>
    <x v="0"/>
    <x v="0"/>
    <n v="77056"/>
    <n v="12800"/>
    <d v="2025-10-09T00:00:00"/>
    <d v="2025-10-12T00:00:00"/>
    <n v="3"/>
    <x v="2"/>
    <x v="1"/>
    <s v="Need settlement offer"/>
    <n v="1"/>
    <s v="Delayed"/>
  </r>
  <r>
    <s v="CUST_0450"/>
    <x v="2"/>
    <x v="0"/>
    <n v="47490"/>
    <n v="4700"/>
    <d v="2025-10-08T00:00:00"/>
    <d v="2025-10-11T00:00:00"/>
    <n v="3"/>
    <x v="1"/>
    <x v="1"/>
    <s v="No response"/>
    <n v="1"/>
    <s v="Delayed"/>
  </r>
  <r>
    <s v="CUST_0451"/>
    <x v="1"/>
    <x v="0"/>
    <n v="39975"/>
    <n v="3100"/>
    <d v="2025-10-26T00:00:00"/>
    <d v="2025-10-29T00:00:00"/>
    <n v="3"/>
    <x v="3"/>
    <x v="1"/>
    <s v="Lost my job, need more time"/>
    <n v="1"/>
    <s v="Delayed"/>
  </r>
  <r>
    <s v="CUST_0452"/>
    <x v="0"/>
    <x v="0"/>
    <n v="46723"/>
    <n v="2600"/>
    <d v="2025-10-28T00:00:00"/>
    <d v="2025-10-28T00:00:00"/>
    <n v="0"/>
    <x v="3"/>
    <x v="1"/>
    <s v="No response"/>
    <n v="0"/>
    <s v="On Time"/>
  </r>
  <r>
    <s v="CUST_0453"/>
    <x v="0"/>
    <x v="1"/>
    <n v="43279"/>
    <n v="3300"/>
    <d v="2025-10-26T00:00:00"/>
    <d v="2025-10-26T00:00:00"/>
    <n v="0"/>
    <x v="3"/>
    <x v="0"/>
    <s v="Dispute on EMI amount"/>
    <n v="0"/>
    <s v="On Time"/>
  </r>
  <r>
    <s v="CUST_0454"/>
    <x v="1"/>
    <x v="2"/>
    <n v="98301"/>
    <n v="6100"/>
    <d v="2025-10-17T00:00:00"/>
    <d v="2025-11-01T00:00:00"/>
    <n v="15"/>
    <x v="3"/>
    <x v="1"/>
    <s v="No response"/>
    <n v="1"/>
    <s v="Delayed"/>
  </r>
  <r>
    <s v="CUST_0455"/>
    <x v="2"/>
    <x v="1"/>
    <n v="31561"/>
    <n v="5300"/>
    <d v="2025-10-02T00:00:00"/>
    <d v="2025-10-05T00:00:00"/>
    <n v="3"/>
    <x v="0"/>
    <x v="0"/>
    <s v="No response"/>
    <n v="1"/>
    <s v="Delayed"/>
  </r>
  <r>
    <s v="CUST_0456"/>
    <x v="0"/>
    <x v="1"/>
    <n v="86061"/>
    <n v="4800"/>
    <d v="2025-10-25T00:00:00"/>
    <d v="2025-10-25T00:00:00"/>
    <n v="0"/>
    <x v="2"/>
    <x v="1"/>
    <s v="Lost my job, need more time"/>
    <n v="0"/>
    <s v="On Time"/>
  </r>
  <r>
    <s v="CUST_0457"/>
    <x v="2"/>
    <x v="0"/>
    <n v="69153"/>
    <n v="8600"/>
    <d v="2025-10-24T00:00:00"/>
    <d v="2025-11-08T00:00:00"/>
    <n v="15"/>
    <x v="0"/>
    <x v="0"/>
    <s v="Please stop calling"/>
    <n v="1"/>
    <s v="Delayed"/>
  </r>
  <r>
    <s v="CUST_0458"/>
    <x v="0"/>
    <x v="1"/>
    <n v="53142"/>
    <n v="2400"/>
    <d v="2025-10-30T00:00:00"/>
    <d v="2025-10-30T00:00:00"/>
    <n v="0"/>
    <x v="2"/>
    <x v="1"/>
    <s v="No response"/>
    <n v="0"/>
    <s v="On Time"/>
  </r>
  <r>
    <s v="CUST_0459"/>
    <x v="2"/>
    <x v="1"/>
    <n v="46916"/>
    <n v="4700"/>
    <d v="2025-10-03T00:00:00"/>
    <d v="2025-10-03T00:00:00"/>
    <n v="0"/>
    <x v="1"/>
    <x v="1"/>
    <s v="Lost my job, need more time"/>
    <n v="0"/>
    <s v="On Time"/>
  </r>
  <r>
    <s v="CUST_0460"/>
    <x v="2"/>
    <x v="0"/>
    <n v="84324"/>
    <n v="6500"/>
    <d v="2025-10-08T00:00:00"/>
    <d v="2025-10-08T00:00:00"/>
    <n v="0"/>
    <x v="3"/>
    <x v="1"/>
    <s v="Will clear dues soon"/>
    <n v="0"/>
    <s v="On Time"/>
  </r>
  <r>
    <s v="CUST_0461"/>
    <x v="2"/>
    <x v="1"/>
    <n v="64965"/>
    <n v="3400"/>
    <d v="2025-10-12T00:00:00"/>
    <d v="2025-10-19T00:00:00"/>
    <n v="7"/>
    <x v="2"/>
    <x v="0"/>
    <s v="Cannot pay right now"/>
    <n v="1"/>
    <s v="Delayed"/>
  </r>
  <r>
    <s v="CUST_0462"/>
    <x v="0"/>
    <x v="0"/>
    <n v="24648"/>
    <n v="2700"/>
    <d v="2025-10-01T00:00:00"/>
    <d v="2025-10-04T00:00:00"/>
    <n v="3"/>
    <x v="3"/>
    <x v="1"/>
    <s v="Will pay next week"/>
    <n v="1"/>
    <s v="Delayed"/>
  </r>
  <r>
    <s v="CUST_0463"/>
    <x v="1"/>
    <x v="1"/>
    <n v="55133"/>
    <n v="3400"/>
    <d v="2025-10-10T00:00:00"/>
    <d v="2025-10-10T00:00:00"/>
    <n v="0"/>
    <x v="3"/>
    <x v="1"/>
    <s v="Paid already"/>
    <n v="0"/>
    <s v="On Time"/>
  </r>
  <r>
    <s v="CUST_0464"/>
    <x v="0"/>
    <x v="1"/>
    <n v="70677"/>
    <n v="3500"/>
    <d v="2025-10-20T00:00:00"/>
    <d v="2025-11-04T00:00:00"/>
    <n v="15"/>
    <x v="2"/>
    <x v="1"/>
    <s v="Will clear dues soon"/>
    <n v="1"/>
    <s v="Delayed"/>
  </r>
  <r>
    <s v="CUST_0465"/>
    <x v="1"/>
    <x v="1"/>
    <n v="90135"/>
    <n v="7500"/>
    <d v="2025-10-03T00:00:00"/>
    <d v="2025-10-03T00:00:00"/>
    <n v="0"/>
    <x v="0"/>
    <x v="1"/>
    <s v="Paid already"/>
    <n v="0"/>
    <s v="On Time"/>
  </r>
  <r>
    <s v="CUST_0466"/>
    <x v="0"/>
    <x v="1"/>
    <n v="55046"/>
    <n v="3400"/>
    <d v="2025-10-06T00:00:00"/>
    <d v="2025-10-06T00:00:00"/>
    <n v="0"/>
    <x v="1"/>
    <x v="1"/>
    <s v="Will pay next week"/>
    <n v="0"/>
    <s v="On Time"/>
  </r>
  <r>
    <s v="CUST_0467"/>
    <x v="0"/>
    <x v="0"/>
    <n v="67064"/>
    <n v="6700"/>
    <d v="2025-10-07T00:00:00"/>
    <d v="2025-10-07T00:00:00"/>
    <n v="0"/>
    <x v="3"/>
    <x v="1"/>
    <s v="Need settlement offer"/>
    <n v="0"/>
    <s v="On Time"/>
  </r>
  <r>
    <s v="CUST_0468"/>
    <x v="1"/>
    <x v="1"/>
    <n v="89350"/>
    <n v="8900"/>
    <d v="2025-10-20T00:00:00"/>
    <d v="2025-10-20T00:00:00"/>
    <n v="0"/>
    <x v="3"/>
    <x v="1"/>
    <s v="Lost my job, need more time"/>
    <n v="0"/>
    <s v="On Time"/>
  </r>
  <r>
    <s v="CUST_0469"/>
    <x v="0"/>
    <x v="0"/>
    <n v="65893"/>
    <n v="5100"/>
    <d v="2025-10-23T00:00:00"/>
    <d v="2025-10-23T00:00:00"/>
    <n v="0"/>
    <x v="3"/>
    <x v="1"/>
    <s v="Need settlement offer"/>
    <n v="0"/>
    <s v="On Time"/>
  </r>
  <r>
    <s v="CUST_0470"/>
    <x v="1"/>
    <x v="1"/>
    <n v="81272"/>
    <n v="5400"/>
    <d v="2025-10-25T00:00:00"/>
    <d v="2025-10-28T00:00:00"/>
    <n v="3"/>
    <x v="2"/>
    <x v="1"/>
    <s v="Will pay tomorrow"/>
    <n v="1"/>
    <s v="Delayed"/>
  </r>
  <r>
    <s v="CUST_0471"/>
    <x v="2"/>
    <x v="0"/>
    <n v="87649"/>
    <n v="8000"/>
    <d v="2025-10-27T00:00:00"/>
    <d v="2025-11-11T00:00:00"/>
    <n v="15"/>
    <x v="1"/>
    <x v="0"/>
    <s v="Cannot pay right now"/>
    <n v="1"/>
    <s v="Delayed"/>
  </r>
  <r>
    <s v="CUST_0472"/>
    <x v="1"/>
    <x v="2"/>
    <n v="84674"/>
    <n v="4200"/>
    <d v="2025-10-18T00:00:00"/>
    <d v="2025-10-18T00:00:00"/>
    <n v="0"/>
    <x v="0"/>
    <x v="0"/>
    <s v="Will pay tomorrow"/>
    <n v="0"/>
    <s v="On Time"/>
  </r>
  <r>
    <s v="CUST_0473"/>
    <x v="2"/>
    <x v="0"/>
    <n v="33760"/>
    <n v="1600"/>
    <d v="2025-10-11T00:00:00"/>
    <d v="2025-10-11T00:00:00"/>
    <n v="0"/>
    <x v="3"/>
    <x v="0"/>
    <s v="No response"/>
    <n v="0"/>
    <s v="On Time"/>
  </r>
  <r>
    <s v="CUST_0474"/>
    <x v="1"/>
    <x v="1"/>
    <n v="41927"/>
    <n v="1900"/>
    <d v="2025-10-19T00:00:00"/>
    <d v="2025-10-19T00:00:00"/>
    <n v="0"/>
    <x v="2"/>
    <x v="0"/>
    <s v="Will pay tomorrow"/>
    <n v="0"/>
    <s v="On Time"/>
  </r>
  <r>
    <s v="CUST_0475"/>
    <x v="0"/>
    <x v="1"/>
    <n v="81367"/>
    <n v="6300"/>
    <d v="2025-10-05T00:00:00"/>
    <d v="2025-10-05T00:00:00"/>
    <n v="0"/>
    <x v="2"/>
    <x v="1"/>
    <s v="No response"/>
    <n v="0"/>
    <s v="On Time"/>
  </r>
  <r>
    <s v="CUST_0476"/>
    <x v="1"/>
    <x v="1"/>
    <n v="32588"/>
    <n v="2500"/>
    <d v="2025-10-19T00:00:00"/>
    <d v="2025-10-19T00:00:00"/>
    <n v="0"/>
    <x v="1"/>
    <x v="1"/>
    <s v="Will pay next week"/>
    <n v="0"/>
    <s v="On Time"/>
  </r>
  <r>
    <s v="CUST_0477"/>
    <x v="2"/>
    <x v="0"/>
    <n v="72233"/>
    <n v="5200"/>
    <d v="2025-10-11T00:00:00"/>
    <d v="2025-10-18T00:00:00"/>
    <n v="7"/>
    <x v="2"/>
    <x v="0"/>
    <s v="Will pay tomorrow"/>
    <n v="1"/>
    <s v="Delayed"/>
  </r>
  <r>
    <s v="CUST_0478"/>
    <x v="0"/>
    <x v="1"/>
    <n v="64738"/>
    <n v="9200"/>
    <d v="2025-10-24T00:00:00"/>
    <d v="2025-10-24T00:00:00"/>
    <n v="0"/>
    <x v="1"/>
    <x v="1"/>
    <s v="Need settlement offer"/>
    <n v="0"/>
    <s v="On Time"/>
  </r>
  <r>
    <s v="CUST_0479"/>
    <x v="1"/>
    <x v="1"/>
    <n v="53397"/>
    <n v="2700"/>
    <d v="2025-10-12T00:00:00"/>
    <d v="2025-10-19T00:00:00"/>
    <n v="7"/>
    <x v="1"/>
    <x v="0"/>
    <s v="Will pay next week"/>
    <n v="1"/>
    <s v="Delayed"/>
  </r>
  <r>
    <s v="CUST_0480"/>
    <x v="0"/>
    <x v="0"/>
    <n v="96367"/>
    <n v="4200"/>
    <d v="2025-10-10T00:00:00"/>
    <d v="2025-10-25T00:00:00"/>
    <n v="15"/>
    <x v="3"/>
    <x v="1"/>
    <s v="Lost my job, need more time"/>
    <n v="1"/>
    <s v="Delayed"/>
  </r>
  <r>
    <s v="CUST_0481"/>
    <x v="0"/>
    <x v="1"/>
    <n v="91260"/>
    <n v="11400"/>
    <d v="2025-10-08T00:00:00"/>
    <d v="2025-10-08T00:00:00"/>
    <n v="0"/>
    <x v="1"/>
    <x v="1"/>
    <s v="Need settlement offer"/>
    <n v="0"/>
    <s v="On Time"/>
  </r>
  <r>
    <s v="CUST_0482"/>
    <x v="0"/>
    <x v="0"/>
    <n v="96619"/>
    <n v="4400"/>
    <d v="2025-10-24T00:00:00"/>
    <d v="2025-11-08T00:00:00"/>
    <n v="15"/>
    <x v="3"/>
    <x v="1"/>
    <s v="Will pay tomorrow"/>
    <n v="1"/>
    <s v="Delayed"/>
  </r>
  <r>
    <s v="CUST_0483"/>
    <x v="0"/>
    <x v="1"/>
    <n v="39816"/>
    <n v="4400"/>
    <d v="2025-10-28T00:00:00"/>
    <d v="2025-10-31T00:00:00"/>
    <n v="3"/>
    <x v="1"/>
    <x v="0"/>
    <s v="Please stop calling"/>
    <n v="1"/>
    <s v="Delayed"/>
  </r>
  <r>
    <s v="CUST_0484"/>
    <x v="0"/>
    <x v="1"/>
    <n v="62240"/>
    <n v="6900"/>
    <d v="2025-10-28T00:00:00"/>
    <d v="2025-10-31T00:00:00"/>
    <n v="3"/>
    <x v="2"/>
    <x v="1"/>
    <s v="Will clear dues soon"/>
    <n v="1"/>
    <s v="Delayed"/>
  </r>
  <r>
    <s v="CUST_0485"/>
    <x v="0"/>
    <x v="0"/>
    <n v="26276"/>
    <n v="1400"/>
    <d v="2025-10-09T00:00:00"/>
    <d v="2025-10-09T00:00:00"/>
    <n v="0"/>
    <x v="2"/>
    <x v="1"/>
    <s v="No response"/>
    <n v="0"/>
    <s v="On Time"/>
  </r>
  <r>
    <s v="CUST_0486"/>
    <x v="1"/>
    <x v="1"/>
    <n v="99530"/>
    <n v="7100"/>
    <d v="2025-10-04T00:00:00"/>
    <d v="2025-10-04T00:00:00"/>
    <n v="0"/>
    <x v="0"/>
    <x v="1"/>
    <s v="Need settlement offer"/>
    <n v="0"/>
    <s v="On Time"/>
  </r>
  <r>
    <s v="CUST_0487"/>
    <x v="2"/>
    <x v="0"/>
    <n v="43499"/>
    <n v="3100"/>
    <d v="2025-10-05T00:00:00"/>
    <d v="2025-10-05T00:00:00"/>
    <n v="0"/>
    <x v="0"/>
    <x v="1"/>
    <s v="Paid already"/>
    <n v="0"/>
    <s v="On Time"/>
  </r>
  <r>
    <s v="CUST_0488"/>
    <x v="0"/>
    <x v="1"/>
    <n v="91635"/>
    <n v="4000"/>
    <d v="2025-10-21T00:00:00"/>
    <d v="2025-10-21T00:00:00"/>
    <n v="0"/>
    <x v="1"/>
    <x v="1"/>
    <s v="No response"/>
    <n v="0"/>
    <s v="On Time"/>
  </r>
  <r>
    <s v="CUST_0489"/>
    <x v="1"/>
    <x v="1"/>
    <n v="55946"/>
    <n v="3700"/>
    <d v="2025-10-08T00:00:00"/>
    <d v="2025-10-08T00:00:00"/>
    <n v="0"/>
    <x v="2"/>
    <x v="0"/>
    <s v="No response"/>
    <n v="0"/>
    <s v="On Time"/>
  </r>
  <r>
    <s v="CUST_0490"/>
    <x v="1"/>
    <x v="0"/>
    <n v="75204"/>
    <n v="8400"/>
    <d v="2025-10-23T00:00:00"/>
    <d v="2025-10-26T00:00:00"/>
    <n v="3"/>
    <x v="1"/>
    <x v="1"/>
    <s v="Need settlement offer"/>
    <n v="1"/>
    <s v="Delayed"/>
  </r>
  <r>
    <s v="CUST_0491"/>
    <x v="0"/>
    <x v="0"/>
    <n v="71886"/>
    <n v="4200"/>
    <d v="2025-10-09T00:00:00"/>
    <d v="2025-10-09T00:00:00"/>
    <n v="0"/>
    <x v="2"/>
    <x v="1"/>
    <s v="Will pay next week"/>
    <n v="0"/>
    <s v="On Time"/>
  </r>
  <r>
    <s v="CUST_0492"/>
    <x v="0"/>
    <x v="0"/>
    <n v="91652"/>
    <n v="7100"/>
    <d v="2025-10-15T00:00:00"/>
    <d v="2025-11-14T00:00:00"/>
    <n v="30"/>
    <x v="0"/>
    <x v="1"/>
    <s v="Will pay tomorrow"/>
    <n v="1"/>
    <s v="Delayed"/>
  </r>
  <r>
    <s v="CUST_0493"/>
    <x v="0"/>
    <x v="1"/>
    <n v="35563"/>
    <n v="5100"/>
    <d v="2025-10-15T00:00:00"/>
    <d v="2025-10-22T00:00:00"/>
    <n v="7"/>
    <x v="2"/>
    <x v="0"/>
    <s v="Please stop calling"/>
    <n v="1"/>
    <s v="Delayed"/>
  </r>
  <r>
    <s v="CUST_0494"/>
    <x v="2"/>
    <x v="0"/>
    <n v="29847"/>
    <n v="1700"/>
    <d v="2025-10-16T00:00:00"/>
    <d v="2025-10-16T00:00:00"/>
    <n v="0"/>
    <x v="0"/>
    <x v="1"/>
    <s v="Paid already"/>
    <n v="0"/>
    <s v="On Time"/>
  </r>
  <r>
    <s v="CUST_0495"/>
    <x v="0"/>
    <x v="1"/>
    <n v="46155"/>
    <n v="2200"/>
    <d v="2025-10-14T00:00:00"/>
    <d v="2025-10-14T00:00:00"/>
    <n v="0"/>
    <x v="0"/>
    <x v="1"/>
    <s v="Paid already"/>
    <n v="0"/>
    <s v="On Time"/>
  </r>
  <r>
    <s v="CUST_0496"/>
    <x v="0"/>
    <x v="1"/>
    <n v="99671"/>
    <n v="14200"/>
    <d v="2025-10-08T00:00:00"/>
    <d v="2025-11-07T00:00:00"/>
    <n v="30"/>
    <x v="1"/>
    <x v="1"/>
    <s v="Will clear dues soon"/>
    <n v="1"/>
    <s v="Delayed"/>
  </r>
  <r>
    <s v="CUST_0497"/>
    <x v="0"/>
    <x v="2"/>
    <n v="87278"/>
    <n v="5500"/>
    <d v="2025-10-18T00:00:00"/>
    <d v="2025-11-02T00:00:00"/>
    <n v="15"/>
    <x v="3"/>
    <x v="1"/>
    <s v="No response"/>
    <n v="1"/>
    <s v="Delayed"/>
  </r>
  <r>
    <s v="CUST_0498"/>
    <x v="2"/>
    <x v="1"/>
    <n v="38309"/>
    <n v="2600"/>
    <d v="2025-10-10T00:00:00"/>
    <d v="2025-10-17T00:00:00"/>
    <n v="7"/>
    <x v="3"/>
    <x v="1"/>
    <s v="Will pay next week"/>
    <n v="1"/>
    <s v="Delayed"/>
  </r>
  <r>
    <s v="CUST_0499"/>
    <x v="1"/>
    <x v="2"/>
    <n v="20619"/>
    <n v="1000"/>
    <d v="2025-10-28T00:00:00"/>
    <d v="2025-10-28T00:00:00"/>
    <n v="0"/>
    <x v="0"/>
    <x v="0"/>
    <s v="Dispute on EMI amount"/>
    <n v="0"/>
    <s v="On Time"/>
  </r>
  <r>
    <s v="CUST_0500"/>
    <x v="1"/>
    <x v="1"/>
    <n v="70108"/>
    <n v="3200"/>
    <d v="2025-10-20T00:00:00"/>
    <d v="2025-10-20T00:00:00"/>
    <n v="0"/>
    <x v="3"/>
    <x v="1"/>
    <s v="No response"/>
    <n v="0"/>
    <s v="On Tim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x v="0"/>
    <x v="0"/>
    <n v="77134"/>
    <n v="3400"/>
    <d v="2025-10-08T00:00:00"/>
    <d v="2025-10-11T00:00:00"/>
    <n v="3"/>
    <s v="Agent"/>
    <x v="0"/>
    <s v="Need settlement offer"/>
    <n v="1"/>
    <s v="Delayed"/>
    <x v="0"/>
    <x v="0"/>
  </r>
  <r>
    <x v="1"/>
    <x v="1"/>
    <x v="0"/>
    <n v="40491"/>
    <n v="2100"/>
    <d v="2025-10-18T00:00:00"/>
    <d v="2025-10-18T00:00:00"/>
    <n v="0"/>
    <s v="AI_Call"/>
    <x v="0"/>
    <s v="Dispute on EMI amount"/>
    <n v="0"/>
    <s v="On Time"/>
    <x v="1"/>
    <x v="0"/>
  </r>
  <r>
    <x v="2"/>
    <x v="1"/>
    <x v="1"/>
    <n v="21341"/>
    <n v="3000"/>
    <d v="2025-10-23T00:00:00"/>
    <d v="2025-10-26T00:00:00"/>
    <n v="3"/>
    <s v="IVR"/>
    <x v="1"/>
    <s v="Will pay tomorrow"/>
    <n v="1"/>
    <s v="Delayed"/>
    <x v="0"/>
    <x v="1"/>
  </r>
  <r>
    <x v="3"/>
    <x v="0"/>
    <x v="0"/>
    <n v="64623"/>
    <n v="4600"/>
    <d v="2025-10-09T00:00:00"/>
    <d v="2025-10-09T00:00:00"/>
    <n v="0"/>
    <s v="IVR"/>
    <x v="1"/>
    <s v="Will pay tomorrow"/>
    <n v="0"/>
    <s v="On Time"/>
    <x v="1"/>
    <x v="1"/>
  </r>
  <r>
    <x v="4"/>
    <x v="2"/>
    <x v="0"/>
    <n v="20338"/>
    <n v="2000"/>
    <d v="2025-10-25T00:00:00"/>
    <d v="2025-11-24T00:00:00"/>
    <n v="30"/>
    <s v="Agent"/>
    <x v="1"/>
    <s v="Paid already"/>
    <n v="1"/>
    <s v="Delayed"/>
    <x v="2"/>
    <x v="1"/>
  </r>
  <r>
    <x v="5"/>
    <x v="2"/>
    <x v="1"/>
    <n v="91431"/>
    <n v="15200"/>
    <d v="2025-10-08T00:00:00"/>
    <d v="2025-10-08T00:00:00"/>
    <n v="0"/>
    <s v="WhatsApp"/>
    <x v="1"/>
    <s v="Paid already"/>
    <n v="0"/>
    <s v="On Time"/>
    <x v="1"/>
    <x v="1"/>
  </r>
  <r>
    <x v="6"/>
    <x v="2"/>
    <x v="2"/>
    <n v="32254"/>
    <n v="4000"/>
    <d v="2025-10-27T00:00:00"/>
    <d v="2025-10-27T00:00:00"/>
    <n v="0"/>
    <s v="IVR"/>
    <x v="1"/>
    <s v="Dispute on EMI amount"/>
    <n v="0"/>
    <s v="On Time"/>
    <x v="1"/>
    <x v="1"/>
  </r>
  <r>
    <x v="7"/>
    <x v="1"/>
    <x v="0"/>
    <n v="71860"/>
    <n v="6500"/>
    <d v="2025-10-14T00:00:00"/>
    <d v="2025-10-17T00:00:00"/>
    <n v="3"/>
    <s v="AI_Call"/>
    <x v="1"/>
    <s v="Lost my job, need more time"/>
    <n v="1"/>
    <s v="Delayed"/>
    <x v="0"/>
    <x v="1"/>
  </r>
  <r>
    <x v="8"/>
    <x v="0"/>
    <x v="2"/>
    <n v="31344"/>
    <n v="3100"/>
    <d v="2025-10-28T00:00:00"/>
    <d v="2025-10-28T00:00:00"/>
    <n v="0"/>
    <s v="AI_Call"/>
    <x v="1"/>
    <s v="No response"/>
    <n v="0"/>
    <s v="On Time"/>
    <x v="1"/>
    <x v="1"/>
  </r>
  <r>
    <x v="9"/>
    <x v="1"/>
    <x v="0"/>
    <n v="21750"/>
    <n v="2200"/>
    <d v="2025-10-26T00:00:00"/>
    <d v="2025-10-26T00:00:00"/>
    <n v="0"/>
    <s v="WhatsApp"/>
    <x v="1"/>
    <s v="Lost my job, need more time"/>
    <n v="0"/>
    <s v="On Time"/>
    <x v="1"/>
    <x v="1"/>
  </r>
  <r>
    <x v="10"/>
    <x v="2"/>
    <x v="0"/>
    <n v="74756"/>
    <n v="12500"/>
    <d v="2025-10-25T00:00:00"/>
    <d v="2025-11-01T00:00:00"/>
    <n v="7"/>
    <s v="AI_Call"/>
    <x v="0"/>
    <s v="No response"/>
    <n v="1"/>
    <s v="Delayed"/>
    <x v="0"/>
    <x v="0"/>
  </r>
  <r>
    <x v="11"/>
    <x v="1"/>
    <x v="1"/>
    <n v="87957"/>
    <n v="4000"/>
    <d v="2025-10-18T00:00:00"/>
    <d v="2025-11-02T00:00:00"/>
    <n v="15"/>
    <s v="AI_Call"/>
    <x v="1"/>
    <s v="No response"/>
    <n v="1"/>
    <s v="Delayed"/>
    <x v="2"/>
    <x v="1"/>
  </r>
  <r>
    <x v="12"/>
    <x v="1"/>
    <x v="2"/>
    <n v="78053"/>
    <n v="4100"/>
    <d v="2025-10-22T00:00:00"/>
    <d v="2025-10-22T00:00:00"/>
    <n v="0"/>
    <s v="WhatsApp"/>
    <x v="1"/>
    <s v="Need settlement offer"/>
    <n v="0"/>
    <s v="On Time"/>
    <x v="1"/>
    <x v="1"/>
  </r>
  <r>
    <x v="13"/>
    <x v="0"/>
    <x v="0"/>
    <n v="90855"/>
    <n v="5300"/>
    <d v="2025-10-20T00:00:00"/>
    <d v="2025-10-27T00:00:00"/>
    <n v="7"/>
    <s v="Agent"/>
    <x v="0"/>
    <s v="Need settlement offer"/>
    <n v="1"/>
    <s v="Delayed"/>
    <x v="0"/>
    <x v="0"/>
  </r>
  <r>
    <x v="14"/>
    <x v="2"/>
    <x v="1"/>
    <n v="35896"/>
    <n v="2400"/>
    <d v="2025-10-30T00:00:00"/>
    <d v="2025-12-14T00:00:00"/>
    <n v="45"/>
    <s v="WhatsApp"/>
    <x v="1"/>
    <s v="Paid already"/>
    <n v="1"/>
    <s v="Delayed"/>
    <x v="2"/>
    <x v="1"/>
  </r>
  <r>
    <x v="15"/>
    <x v="2"/>
    <x v="1"/>
    <n v="75761"/>
    <n v="3300"/>
    <d v="2025-10-20T00:00:00"/>
    <d v="2025-11-04T00:00:00"/>
    <n v="15"/>
    <s v="IVR"/>
    <x v="1"/>
    <s v="Need settlement offer"/>
    <n v="1"/>
    <s v="Delayed"/>
    <x v="2"/>
    <x v="1"/>
  </r>
  <r>
    <x v="16"/>
    <x v="0"/>
    <x v="1"/>
    <n v="82552"/>
    <n v="5200"/>
    <d v="2025-10-21T00:00:00"/>
    <d v="2025-10-21T00:00:00"/>
    <n v="0"/>
    <s v="WhatsApp"/>
    <x v="1"/>
    <s v="Lost my job, need more time"/>
    <n v="0"/>
    <s v="On Time"/>
    <x v="1"/>
    <x v="1"/>
  </r>
  <r>
    <x v="17"/>
    <x v="0"/>
    <x v="0"/>
    <n v="97454"/>
    <n v="13900"/>
    <d v="2025-10-12T00:00:00"/>
    <d v="2025-10-19T00:00:00"/>
    <n v="7"/>
    <s v="WhatsApp"/>
    <x v="1"/>
    <s v="Will pay next week"/>
    <n v="1"/>
    <s v="Delayed"/>
    <x v="0"/>
    <x v="1"/>
  </r>
  <r>
    <x v="18"/>
    <x v="0"/>
    <x v="2"/>
    <n v="47935"/>
    <n v="2100"/>
    <d v="2025-10-19T00:00:00"/>
    <d v="2025-10-19T00:00:00"/>
    <n v="0"/>
    <s v="Agent"/>
    <x v="1"/>
    <s v="Lost my job, need more time"/>
    <n v="0"/>
    <s v="On Time"/>
    <x v="1"/>
    <x v="1"/>
  </r>
  <r>
    <x v="19"/>
    <x v="0"/>
    <x v="1"/>
    <n v="57641"/>
    <n v="4800"/>
    <d v="2025-10-14T00:00:00"/>
    <d v="2025-12-13T00:00:00"/>
    <n v="60"/>
    <s v="IVR"/>
    <x v="1"/>
    <s v="Need settlement offer"/>
    <n v="1"/>
    <s v="Delayed"/>
    <x v="2"/>
    <x v="1"/>
  </r>
  <r>
    <x v="20"/>
    <x v="0"/>
    <x v="0"/>
    <n v="49711"/>
    <n v="2500"/>
    <d v="2025-10-17T00:00:00"/>
    <d v="2025-10-17T00:00:00"/>
    <n v="0"/>
    <s v="IVR"/>
    <x v="1"/>
    <s v="No response"/>
    <n v="0"/>
    <s v="On Time"/>
    <x v="1"/>
    <x v="1"/>
  </r>
  <r>
    <x v="21"/>
    <x v="2"/>
    <x v="1"/>
    <n v="90342"/>
    <n v="5600"/>
    <d v="2025-10-24T00:00:00"/>
    <d v="2025-10-24T00:00:00"/>
    <n v="0"/>
    <s v="WhatsApp"/>
    <x v="1"/>
    <s v="Lost my job, need more time"/>
    <n v="0"/>
    <s v="On Time"/>
    <x v="1"/>
    <x v="1"/>
  </r>
  <r>
    <x v="22"/>
    <x v="0"/>
    <x v="2"/>
    <n v="32182"/>
    <n v="1400"/>
    <d v="2025-10-21T00:00:00"/>
    <d v="2025-10-28T00:00:00"/>
    <n v="7"/>
    <s v="IVR"/>
    <x v="1"/>
    <s v="Lost my job, need more time"/>
    <n v="1"/>
    <s v="Delayed"/>
    <x v="0"/>
    <x v="1"/>
  </r>
  <r>
    <x v="23"/>
    <x v="0"/>
    <x v="0"/>
    <n v="76276"/>
    <n v="4500"/>
    <d v="2025-10-03T00:00:00"/>
    <d v="2025-10-03T00:00:00"/>
    <n v="0"/>
    <s v="IVR"/>
    <x v="0"/>
    <s v="Paid already"/>
    <n v="0"/>
    <s v="On Time"/>
    <x v="1"/>
    <x v="0"/>
  </r>
  <r>
    <x v="24"/>
    <x v="0"/>
    <x v="0"/>
    <n v="39541"/>
    <n v="3600"/>
    <d v="2025-10-26T00:00:00"/>
    <d v="2025-12-25T00:00:00"/>
    <n v="60"/>
    <s v="IVR"/>
    <x v="0"/>
    <s v="No response"/>
    <n v="1"/>
    <s v="Delayed"/>
    <x v="2"/>
    <x v="0"/>
  </r>
  <r>
    <x v="25"/>
    <x v="1"/>
    <x v="1"/>
    <n v="64813"/>
    <n v="3600"/>
    <d v="2025-10-30T00:00:00"/>
    <d v="2025-12-14T00:00:00"/>
    <n v="45"/>
    <s v="WhatsApp"/>
    <x v="1"/>
    <s v="No response"/>
    <n v="1"/>
    <s v="Delayed"/>
    <x v="2"/>
    <x v="1"/>
  </r>
  <r>
    <x v="26"/>
    <x v="2"/>
    <x v="1"/>
    <n v="57198"/>
    <n v="2700"/>
    <d v="2025-10-23T00:00:00"/>
    <d v="2025-10-26T00:00:00"/>
    <n v="3"/>
    <s v="Agent"/>
    <x v="1"/>
    <s v="Will clear dues soon"/>
    <n v="1"/>
    <s v="Delayed"/>
    <x v="0"/>
    <x v="1"/>
  </r>
  <r>
    <x v="27"/>
    <x v="0"/>
    <x v="1"/>
    <n v="28820"/>
    <n v="1300"/>
    <d v="2025-10-07T00:00:00"/>
    <d v="2025-10-07T00:00:00"/>
    <n v="0"/>
    <s v="IVR"/>
    <x v="1"/>
    <s v="Cannot pay right now"/>
    <n v="0"/>
    <s v="On Time"/>
    <x v="1"/>
    <x v="1"/>
  </r>
  <r>
    <x v="28"/>
    <x v="0"/>
    <x v="1"/>
    <n v="44070"/>
    <n v="2900"/>
    <d v="2025-10-17T00:00:00"/>
    <d v="2025-10-20T00:00:00"/>
    <n v="3"/>
    <s v="IVR"/>
    <x v="1"/>
    <s v="Need settlement offer"/>
    <n v="1"/>
    <s v="Delayed"/>
    <x v="0"/>
    <x v="1"/>
  </r>
  <r>
    <x v="29"/>
    <x v="2"/>
    <x v="0"/>
    <n v="89768"/>
    <n v="6900"/>
    <d v="2025-10-12T00:00:00"/>
    <d v="2025-10-12T00:00:00"/>
    <n v="0"/>
    <s v="WhatsApp"/>
    <x v="0"/>
    <s v="Need settlement offer"/>
    <n v="0"/>
    <s v="On Time"/>
    <x v="1"/>
    <x v="0"/>
  </r>
  <r>
    <x v="30"/>
    <x v="0"/>
    <x v="0"/>
    <n v="31122"/>
    <n v="1400"/>
    <d v="2025-10-09T00:00:00"/>
    <d v="2025-10-09T00:00:00"/>
    <n v="0"/>
    <s v="AI_Call"/>
    <x v="1"/>
    <s v="No response"/>
    <n v="0"/>
    <s v="On Time"/>
    <x v="1"/>
    <x v="1"/>
  </r>
  <r>
    <x v="31"/>
    <x v="2"/>
    <x v="2"/>
    <n v="93543"/>
    <n v="15600"/>
    <d v="2025-10-15T00:00:00"/>
    <d v="2025-10-30T00:00:00"/>
    <n v="15"/>
    <s v="IVR"/>
    <x v="1"/>
    <s v="Cannot pay right now"/>
    <n v="1"/>
    <s v="Delayed"/>
    <x v="2"/>
    <x v="1"/>
  </r>
  <r>
    <x v="32"/>
    <x v="2"/>
    <x v="2"/>
    <n v="61786"/>
    <n v="4800"/>
    <d v="2025-10-18T00:00:00"/>
    <d v="2025-10-18T00:00:00"/>
    <n v="0"/>
    <s v="IVR"/>
    <x v="0"/>
    <s v="Will clear dues soon"/>
    <n v="0"/>
    <s v="On Time"/>
    <x v="1"/>
    <x v="0"/>
  </r>
  <r>
    <x v="33"/>
    <x v="1"/>
    <x v="0"/>
    <n v="26737"/>
    <n v="2400"/>
    <d v="2025-10-21T00:00:00"/>
    <d v="2025-10-21T00:00:00"/>
    <n v="0"/>
    <s v="WhatsApp"/>
    <x v="1"/>
    <s v="No response"/>
    <n v="0"/>
    <s v="On Time"/>
    <x v="1"/>
    <x v="1"/>
  </r>
  <r>
    <x v="34"/>
    <x v="1"/>
    <x v="0"/>
    <n v="56062"/>
    <n v="5600"/>
    <d v="2025-10-13T00:00:00"/>
    <d v="2025-11-27T00:00:00"/>
    <n v="45"/>
    <s v="Agent"/>
    <x v="0"/>
    <s v="Will pay tomorrow"/>
    <n v="1"/>
    <s v="Delayed"/>
    <x v="2"/>
    <x v="0"/>
  </r>
  <r>
    <x v="35"/>
    <x v="1"/>
    <x v="2"/>
    <n v="74237"/>
    <n v="3700"/>
    <d v="2025-10-30T00:00:00"/>
    <d v="2025-10-30T00:00:00"/>
    <n v="0"/>
    <s v="WhatsApp"/>
    <x v="1"/>
    <s v="Paid already"/>
    <n v="0"/>
    <s v="On Time"/>
    <x v="1"/>
    <x v="1"/>
  </r>
  <r>
    <x v="36"/>
    <x v="0"/>
    <x v="0"/>
    <n v="71571"/>
    <n v="3600"/>
    <d v="2025-10-21T00:00:00"/>
    <d v="2025-10-21T00:00:00"/>
    <n v="0"/>
    <s v="AI_Call"/>
    <x v="1"/>
    <s v="Will clear dues soon"/>
    <n v="0"/>
    <s v="On Time"/>
    <x v="1"/>
    <x v="1"/>
  </r>
  <r>
    <x v="37"/>
    <x v="2"/>
    <x v="1"/>
    <n v="45510"/>
    <n v="6500"/>
    <d v="2025-10-30T00:00:00"/>
    <d v="2025-11-29T00:00:00"/>
    <n v="30"/>
    <s v="IVR"/>
    <x v="1"/>
    <s v="Cannot pay right now"/>
    <n v="1"/>
    <s v="Delayed"/>
    <x v="2"/>
    <x v="1"/>
  </r>
  <r>
    <x v="38"/>
    <x v="0"/>
    <x v="1"/>
    <n v="39426"/>
    <n v="6600"/>
    <d v="2025-10-08T00:00:00"/>
    <d v="2025-10-08T00:00:00"/>
    <n v="0"/>
    <s v="WhatsApp"/>
    <x v="1"/>
    <s v="Paid already"/>
    <n v="0"/>
    <s v="On Time"/>
    <x v="1"/>
    <x v="1"/>
  </r>
  <r>
    <x v="39"/>
    <x v="0"/>
    <x v="1"/>
    <n v="57265"/>
    <n v="3600"/>
    <d v="2025-10-14T00:00:00"/>
    <d v="2025-10-21T00:00:00"/>
    <n v="7"/>
    <s v="AI_Call"/>
    <x v="1"/>
    <s v="Cannot pay right now"/>
    <n v="1"/>
    <s v="Delayed"/>
    <x v="0"/>
    <x v="1"/>
  </r>
  <r>
    <x v="40"/>
    <x v="2"/>
    <x v="2"/>
    <n v="37850"/>
    <n v="2500"/>
    <d v="2025-10-08T00:00:00"/>
    <d v="2025-12-07T00:00:00"/>
    <n v="60"/>
    <s v="WhatsApp"/>
    <x v="1"/>
    <s v="Please stop calling"/>
    <n v="1"/>
    <s v="Delayed"/>
    <x v="2"/>
    <x v="1"/>
  </r>
  <r>
    <x v="41"/>
    <x v="0"/>
    <x v="0"/>
    <n v="86150"/>
    <n v="3700"/>
    <d v="2025-10-14T00:00:00"/>
    <d v="2025-11-13T00:00:00"/>
    <n v="30"/>
    <s v="Agent"/>
    <x v="0"/>
    <s v="Please stop calling"/>
    <n v="1"/>
    <s v="Delayed"/>
    <x v="2"/>
    <x v="0"/>
  </r>
  <r>
    <x v="42"/>
    <x v="2"/>
    <x v="1"/>
    <n v="94910"/>
    <n v="4100"/>
    <d v="2025-10-07T00:00:00"/>
    <d v="2025-10-10T00:00:00"/>
    <n v="3"/>
    <s v="Agent"/>
    <x v="1"/>
    <s v="Dispute on EMI amount"/>
    <n v="1"/>
    <s v="Delayed"/>
    <x v="0"/>
    <x v="1"/>
  </r>
  <r>
    <x v="43"/>
    <x v="1"/>
    <x v="0"/>
    <n v="72375"/>
    <n v="3300"/>
    <d v="2025-10-23T00:00:00"/>
    <d v="2025-10-23T00:00:00"/>
    <n v="0"/>
    <s v="Agent"/>
    <x v="1"/>
    <s v="Please stop calling"/>
    <n v="0"/>
    <s v="On Time"/>
    <x v="1"/>
    <x v="1"/>
  </r>
  <r>
    <x v="44"/>
    <x v="0"/>
    <x v="0"/>
    <n v="55435"/>
    <n v="4300"/>
    <d v="2025-10-12T00:00:00"/>
    <d v="2025-10-12T00:00:00"/>
    <n v="0"/>
    <s v="WhatsApp"/>
    <x v="1"/>
    <s v="Need settlement offer"/>
    <n v="0"/>
    <s v="On Time"/>
    <x v="1"/>
    <x v="1"/>
  </r>
  <r>
    <x v="45"/>
    <x v="0"/>
    <x v="1"/>
    <n v="77132"/>
    <n v="3900"/>
    <d v="2025-10-11T00:00:00"/>
    <d v="2025-10-26T00:00:00"/>
    <n v="15"/>
    <s v="AI_Call"/>
    <x v="1"/>
    <s v="Cannot pay right now"/>
    <n v="1"/>
    <s v="Delayed"/>
    <x v="2"/>
    <x v="1"/>
  </r>
  <r>
    <x v="46"/>
    <x v="0"/>
    <x v="1"/>
    <n v="98945"/>
    <n v="7600"/>
    <d v="2025-10-22T00:00:00"/>
    <d v="2025-11-21T00:00:00"/>
    <n v="30"/>
    <s v="IVR"/>
    <x v="0"/>
    <s v="Dispute on EMI amount"/>
    <n v="1"/>
    <s v="Delayed"/>
    <x v="2"/>
    <x v="0"/>
  </r>
  <r>
    <x v="47"/>
    <x v="0"/>
    <x v="0"/>
    <n v="22983"/>
    <n v="1000"/>
    <d v="2025-10-22T00:00:00"/>
    <d v="2025-10-22T00:00:00"/>
    <n v="0"/>
    <s v="Agent"/>
    <x v="1"/>
    <s v="Dispute on EMI amount"/>
    <n v="0"/>
    <s v="On Time"/>
    <x v="1"/>
    <x v="1"/>
  </r>
  <r>
    <x v="48"/>
    <x v="0"/>
    <x v="0"/>
    <n v="40662"/>
    <n v="2400"/>
    <d v="2025-10-11T00:00:00"/>
    <d v="2025-10-11T00:00:00"/>
    <n v="0"/>
    <s v="AI_Call"/>
    <x v="1"/>
    <s v="Cannot pay right now"/>
    <n v="0"/>
    <s v="On Time"/>
    <x v="1"/>
    <x v="1"/>
  </r>
  <r>
    <x v="49"/>
    <x v="2"/>
    <x v="0"/>
    <n v="43510"/>
    <n v="3300"/>
    <d v="2025-10-25T00:00:00"/>
    <d v="2025-10-25T00:00:00"/>
    <n v="0"/>
    <s v="AI_Call"/>
    <x v="0"/>
    <s v="Will pay tomorrow"/>
    <n v="0"/>
    <s v="On Time"/>
    <x v="1"/>
    <x v="0"/>
  </r>
  <r>
    <x v="50"/>
    <x v="1"/>
    <x v="0"/>
    <n v="98187"/>
    <n v="5200"/>
    <d v="2025-10-22T00:00:00"/>
    <d v="2025-10-22T00:00:00"/>
    <n v="0"/>
    <s v="IVR"/>
    <x v="1"/>
    <s v="Will pay tomorrow"/>
    <n v="0"/>
    <s v="On Time"/>
    <x v="1"/>
    <x v="1"/>
  </r>
  <r>
    <x v="51"/>
    <x v="1"/>
    <x v="0"/>
    <n v="60998"/>
    <n v="6800"/>
    <d v="2025-10-28T00:00:00"/>
    <d v="2025-11-04T00:00:00"/>
    <n v="7"/>
    <s v="IVR"/>
    <x v="0"/>
    <s v="Need settlement offer"/>
    <n v="1"/>
    <s v="Delayed"/>
    <x v="0"/>
    <x v="0"/>
  </r>
  <r>
    <x v="52"/>
    <x v="1"/>
    <x v="0"/>
    <n v="76846"/>
    <n v="12800"/>
    <d v="2025-10-29T00:00:00"/>
    <d v="2025-10-29T00:00:00"/>
    <n v="0"/>
    <s v="WhatsApp"/>
    <x v="1"/>
    <s v="Please stop calling"/>
    <n v="0"/>
    <s v="On Time"/>
    <x v="1"/>
    <x v="1"/>
  </r>
  <r>
    <x v="53"/>
    <x v="1"/>
    <x v="0"/>
    <n v="26640"/>
    <n v="4400"/>
    <d v="2025-10-13T00:00:00"/>
    <d v="2025-11-12T00:00:00"/>
    <n v="30"/>
    <s v="AI_Call"/>
    <x v="1"/>
    <s v="Will pay tomorrow"/>
    <n v="1"/>
    <s v="Delayed"/>
    <x v="2"/>
    <x v="1"/>
  </r>
  <r>
    <x v="54"/>
    <x v="0"/>
    <x v="0"/>
    <n v="64547"/>
    <n v="3100"/>
    <d v="2025-10-18T00:00:00"/>
    <d v="2025-10-25T00:00:00"/>
    <n v="7"/>
    <s v="IVR"/>
    <x v="1"/>
    <s v="Will pay next week"/>
    <n v="1"/>
    <s v="Delayed"/>
    <x v="0"/>
    <x v="1"/>
  </r>
  <r>
    <x v="55"/>
    <x v="1"/>
    <x v="1"/>
    <n v="74620"/>
    <n v="3900"/>
    <d v="2025-10-02T00:00:00"/>
    <d v="2025-10-02T00:00:00"/>
    <n v="0"/>
    <s v="IVR"/>
    <x v="1"/>
    <s v="Will pay next week"/>
    <n v="0"/>
    <s v="On Time"/>
    <x v="1"/>
    <x v="1"/>
  </r>
  <r>
    <x v="56"/>
    <x v="2"/>
    <x v="1"/>
    <n v="35317"/>
    <n v="1700"/>
    <d v="2025-10-29T00:00:00"/>
    <d v="2025-11-01T00:00:00"/>
    <n v="3"/>
    <s v="AI_Call"/>
    <x v="1"/>
    <s v="Dispute on EMI amount"/>
    <n v="1"/>
    <s v="Delayed"/>
    <x v="0"/>
    <x v="1"/>
  </r>
  <r>
    <x v="57"/>
    <x v="2"/>
    <x v="1"/>
    <n v="27564"/>
    <n v="2800"/>
    <d v="2025-10-21T00:00:00"/>
    <d v="2025-10-21T00:00:00"/>
    <n v="0"/>
    <s v="IVR"/>
    <x v="1"/>
    <s v="No response"/>
    <n v="0"/>
    <s v="On Time"/>
    <x v="1"/>
    <x v="1"/>
  </r>
  <r>
    <x v="58"/>
    <x v="2"/>
    <x v="0"/>
    <n v="47345"/>
    <n v="3400"/>
    <d v="2025-10-15T00:00:00"/>
    <d v="2025-10-18T00:00:00"/>
    <n v="3"/>
    <s v="WhatsApp"/>
    <x v="1"/>
    <s v="Paid already"/>
    <n v="1"/>
    <s v="Delayed"/>
    <x v="0"/>
    <x v="1"/>
  </r>
  <r>
    <x v="59"/>
    <x v="0"/>
    <x v="0"/>
    <n v="99273"/>
    <n v="14200"/>
    <d v="2025-10-20T00:00:00"/>
    <d v="2025-10-27T00:00:00"/>
    <n v="7"/>
    <s v="IVR"/>
    <x v="1"/>
    <s v="Cannot pay right now"/>
    <n v="1"/>
    <s v="Delayed"/>
    <x v="0"/>
    <x v="1"/>
  </r>
  <r>
    <x v="60"/>
    <x v="0"/>
    <x v="0"/>
    <n v="94859"/>
    <n v="4100"/>
    <d v="2025-10-27T00:00:00"/>
    <d v="2025-11-11T00:00:00"/>
    <n v="15"/>
    <s v="IVR"/>
    <x v="1"/>
    <s v="Will pay next week"/>
    <n v="1"/>
    <s v="Delayed"/>
    <x v="2"/>
    <x v="1"/>
  </r>
  <r>
    <x v="61"/>
    <x v="0"/>
    <x v="1"/>
    <n v="94038"/>
    <n v="8500"/>
    <d v="2025-10-18T00:00:00"/>
    <d v="2025-11-02T00:00:00"/>
    <n v="15"/>
    <s v="IVR"/>
    <x v="0"/>
    <s v="Please stop calling"/>
    <n v="1"/>
    <s v="Delayed"/>
    <x v="2"/>
    <x v="0"/>
  </r>
  <r>
    <x v="62"/>
    <x v="1"/>
    <x v="1"/>
    <n v="72393"/>
    <n v="5200"/>
    <d v="2025-10-15T00:00:00"/>
    <d v="2025-10-15T00:00:00"/>
    <n v="0"/>
    <s v="WhatsApp"/>
    <x v="1"/>
    <s v="Paid already"/>
    <n v="0"/>
    <s v="On Time"/>
    <x v="1"/>
    <x v="1"/>
  </r>
  <r>
    <x v="63"/>
    <x v="0"/>
    <x v="1"/>
    <n v="86081"/>
    <n v="14300"/>
    <d v="2025-10-19T00:00:00"/>
    <d v="2025-10-19T00:00:00"/>
    <n v="0"/>
    <s v="WhatsApp"/>
    <x v="1"/>
    <s v="Lost my job, need more time"/>
    <n v="0"/>
    <s v="On Time"/>
    <x v="1"/>
    <x v="1"/>
  </r>
  <r>
    <x v="64"/>
    <x v="0"/>
    <x v="1"/>
    <n v="49430"/>
    <n v="3500"/>
    <d v="2025-10-23T00:00:00"/>
    <d v="2025-10-30T00:00:00"/>
    <n v="7"/>
    <s v="WhatsApp"/>
    <x v="0"/>
    <s v="Please stop calling"/>
    <n v="1"/>
    <s v="Delayed"/>
    <x v="0"/>
    <x v="0"/>
  </r>
  <r>
    <x v="65"/>
    <x v="0"/>
    <x v="0"/>
    <n v="95532"/>
    <n v="4500"/>
    <d v="2025-10-24T00:00:00"/>
    <d v="2025-10-24T00:00:00"/>
    <n v="0"/>
    <s v="AI_Call"/>
    <x v="1"/>
    <s v="Dispute on EMI amount"/>
    <n v="0"/>
    <s v="On Time"/>
    <x v="1"/>
    <x v="1"/>
  </r>
  <r>
    <x v="66"/>
    <x v="2"/>
    <x v="1"/>
    <n v="47788"/>
    <n v="2700"/>
    <d v="2025-10-12T00:00:00"/>
    <d v="2025-10-12T00:00:00"/>
    <n v="0"/>
    <s v="WhatsApp"/>
    <x v="1"/>
    <s v="Cannot pay right now"/>
    <n v="0"/>
    <s v="On Time"/>
    <x v="1"/>
    <x v="1"/>
  </r>
  <r>
    <x v="67"/>
    <x v="1"/>
    <x v="1"/>
    <n v="68543"/>
    <n v="4900"/>
    <d v="2025-10-13T00:00:00"/>
    <d v="2025-10-13T00:00:00"/>
    <n v="0"/>
    <s v="IVR"/>
    <x v="0"/>
    <s v="Will clear dues soon"/>
    <n v="0"/>
    <s v="On Time"/>
    <x v="1"/>
    <x v="0"/>
  </r>
  <r>
    <x v="68"/>
    <x v="2"/>
    <x v="2"/>
    <n v="33919"/>
    <n v="1900"/>
    <d v="2025-10-22T00:00:00"/>
    <d v="2025-10-25T00:00:00"/>
    <n v="3"/>
    <s v="Agent"/>
    <x v="1"/>
    <s v="Will pay next week"/>
    <n v="1"/>
    <s v="Delayed"/>
    <x v="0"/>
    <x v="1"/>
  </r>
  <r>
    <x v="69"/>
    <x v="1"/>
    <x v="1"/>
    <n v="89346"/>
    <n v="6400"/>
    <d v="2025-10-11T00:00:00"/>
    <d v="2025-10-11T00:00:00"/>
    <n v="0"/>
    <s v="WhatsApp"/>
    <x v="1"/>
    <s v="Will pay tomorrow"/>
    <n v="0"/>
    <s v="On Time"/>
    <x v="1"/>
    <x v="1"/>
  </r>
  <r>
    <x v="70"/>
    <x v="1"/>
    <x v="0"/>
    <n v="59974"/>
    <n v="3700"/>
    <d v="2025-10-05T00:00:00"/>
    <d v="2025-10-08T00:00:00"/>
    <n v="3"/>
    <s v="IVR"/>
    <x v="1"/>
    <s v="Need settlement offer"/>
    <n v="1"/>
    <s v="Delayed"/>
    <x v="0"/>
    <x v="1"/>
  </r>
  <r>
    <x v="71"/>
    <x v="2"/>
    <x v="0"/>
    <n v="36371"/>
    <n v="4000"/>
    <d v="2025-10-29T00:00:00"/>
    <d v="2025-12-28T00:00:00"/>
    <n v="60"/>
    <s v="AI_Call"/>
    <x v="0"/>
    <s v="Need settlement offer"/>
    <n v="1"/>
    <s v="Delayed"/>
    <x v="2"/>
    <x v="0"/>
  </r>
  <r>
    <x v="72"/>
    <x v="2"/>
    <x v="1"/>
    <n v="65084"/>
    <n v="9300"/>
    <d v="2025-10-01T00:00:00"/>
    <d v="2025-10-01T00:00:00"/>
    <n v="0"/>
    <s v="Agent"/>
    <x v="0"/>
    <s v="Cannot pay right now"/>
    <n v="0"/>
    <s v="On Time"/>
    <x v="1"/>
    <x v="0"/>
  </r>
  <r>
    <x v="73"/>
    <x v="1"/>
    <x v="0"/>
    <n v="49629"/>
    <n v="4500"/>
    <d v="2025-10-24T00:00:00"/>
    <d v="2025-10-24T00:00:00"/>
    <n v="0"/>
    <s v="AI_Call"/>
    <x v="1"/>
    <s v="Will pay next week"/>
    <n v="0"/>
    <s v="On Time"/>
    <x v="1"/>
    <x v="1"/>
  </r>
  <r>
    <x v="74"/>
    <x v="1"/>
    <x v="0"/>
    <n v="71184"/>
    <n v="3700"/>
    <d v="2025-10-03T00:00:00"/>
    <d v="2025-10-03T00:00:00"/>
    <n v="0"/>
    <s v="AI_Call"/>
    <x v="1"/>
    <s v="Will pay next week"/>
    <n v="0"/>
    <s v="On Time"/>
    <x v="1"/>
    <x v="1"/>
  </r>
  <r>
    <x v="75"/>
    <x v="1"/>
    <x v="2"/>
    <n v="81916"/>
    <n v="9100"/>
    <d v="2025-10-22T00:00:00"/>
    <d v="2025-11-06T00:00:00"/>
    <n v="15"/>
    <s v="AI_Call"/>
    <x v="1"/>
    <s v="Please stop calling"/>
    <n v="1"/>
    <s v="Delayed"/>
    <x v="2"/>
    <x v="1"/>
  </r>
  <r>
    <x v="76"/>
    <x v="1"/>
    <x v="1"/>
    <n v="93972"/>
    <n v="8500"/>
    <d v="2025-10-19T00:00:00"/>
    <d v="2025-10-19T00:00:00"/>
    <n v="0"/>
    <s v="IVR"/>
    <x v="1"/>
    <s v="Need settlement offer"/>
    <n v="0"/>
    <s v="On Time"/>
    <x v="1"/>
    <x v="1"/>
  </r>
  <r>
    <x v="77"/>
    <x v="2"/>
    <x v="2"/>
    <n v="82187"/>
    <n v="7500"/>
    <d v="2025-10-23T00:00:00"/>
    <d v="2025-10-23T00:00:00"/>
    <n v="0"/>
    <s v="AI_Call"/>
    <x v="0"/>
    <s v="Please stop calling"/>
    <n v="0"/>
    <s v="On Time"/>
    <x v="1"/>
    <x v="0"/>
  </r>
  <r>
    <x v="78"/>
    <x v="0"/>
    <x v="1"/>
    <n v="32984"/>
    <n v="4700"/>
    <d v="2025-10-29T00:00:00"/>
    <d v="2025-10-29T00:00:00"/>
    <n v="0"/>
    <s v="WhatsApp"/>
    <x v="1"/>
    <s v="Will clear dues soon"/>
    <n v="0"/>
    <s v="On Time"/>
    <x v="1"/>
    <x v="1"/>
  </r>
  <r>
    <x v="79"/>
    <x v="2"/>
    <x v="1"/>
    <n v="53039"/>
    <n v="2300"/>
    <d v="2025-10-30T00:00:00"/>
    <d v="2025-11-06T00:00:00"/>
    <n v="7"/>
    <s v="Agent"/>
    <x v="0"/>
    <s v="Lost my job, need more time"/>
    <n v="1"/>
    <s v="Delayed"/>
    <x v="0"/>
    <x v="0"/>
  </r>
  <r>
    <x v="80"/>
    <x v="1"/>
    <x v="1"/>
    <n v="78606"/>
    <n v="4400"/>
    <d v="2025-10-07T00:00:00"/>
    <d v="2025-10-07T00:00:00"/>
    <n v="0"/>
    <s v="IVR"/>
    <x v="1"/>
    <s v="Will pay next week"/>
    <n v="0"/>
    <s v="On Time"/>
    <x v="1"/>
    <x v="1"/>
  </r>
  <r>
    <x v="81"/>
    <x v="0"/>
    <x v="2"/>
    <n v="30616"/>
    <n v="2200"/>
    <d v="2025-10-12T00:00:00"/>
    <d v="2025-10-19T00:00:00"/>
    <n v="7"/>
    <s v="IVR"/>
    <x v="1"/>
    <s v="Will clear dues soon"/>
    <n v="1"/>
    <s v="Delayed"/>
    <x v="0"/>
    <x v="1"/>
  </r>
  <r>
    <x v="82"/>
    <x v="0"/>
    <x v="1"/>
    <n v="70072"/>
    <n v="3900"/>
    <d v="2025-10-15T00:00:00"/>
    <d v="2025-11-14T00:00:00"/>
    <n v="30"/>
    <s v="WhatsApp"/>
    <x v="1"/>
    <s v="Please stop calling"/>
    <n v="1"/>
    <s v="Delayed"/>
    <x v="2"/>
    <x v="1"/>
  </r>
  <r>
    <x v="83"/>
    <x v="2"/>
    <x v="1"/>
    <n v="44574"/>
    <n v="2800"/>
    <d v="2025-10-25T00:00:00"/>
    <d v="2025-10-25T00:00:00"/>
    <n v="0"/>
    <s v="AI_Call"/>
    <x v="1"/>
    <s v="Paid already"/>
    <n v="0"/>
    <s v="On Time"/>
    <x v="1"/>
    <x v="1"/>
  </r>
  <r>
    <x v="84"/>
    <x v="0"/>
    <x v="0"/>
    <n v="23430"/>
    <n v="3900"/>
    <d v="2025-10-05T00:00:00"/>
    <d v="2025-10-20T00:00:00"/>
    <n v="15"/>
    <s v="WhatsApp"/>
    <x v="0"/>
    <s v="Will pay tomorrow"/>
    <n v="1"/>
    <s v="Delayed"/>
    <x v="2"/>
    <x v="0"/>
  </r>
  <r>
    <x v="85"/>
    <x v="0"/>
    <x v="1"/>
    <n v="32676"/>
    <n v="2700"/>
    <d v="2025-10-15T00:00:00"/>
    <d v="2025-10-15T00:00:00"/>
    <n v="0"/>
    <s v="Agent"/>
    <x v="1"/>
    <s v="Will pay next week"/>
    <n v="0"/>
    <s v="On Time"/>
    <x v="1"/>
    <x v="1"/>
  </r>
  <r>
    <x v="86"/>
    <x v="1"/>
    <x v="1"/>
    <n v="30816"/>
    <n v="1500"/>
    <d v="2025-10-08T00:00:00"/>
    <d v="2025-11-07T00:00:00"/>
    <n v="30"/>
    <s v="AI_Call"/>
    <x v="1"/>
    <s v="Will clear dues soon"/>
    <n v="1"/>
    <s v="Delayed"/>
    <x v="2"/>
    <x v="1"/>
  </r>
  <r>
    <x v="87"/>
    <x v="0"/>
    <x v="1"/>
    <n v="52733"/>
    <n v="8800"/>
    <d v="2025-10-10T00:00:00"/>
    <d v="2025-10-13T00:00:00"/>
    <n v="3"/>
    <s v="WhatsApp"/>
    <x v="1"/>
    <s v="No response"/>
    <n v="1"/>
    <s v="Delayed"/>
    <x v="0"/>
    <x v="1"/>
  </r>
  <r>
    <x v="88"/>
    <x v="1"/>
    <x v="1"/>
    <n v="22050"/>
    <n v="1300"/>
    <d v="2025-10-26T00:00:00"/>
    <d v="2025-11-25T00:00:00"/>
    <n v="30"/>
    <s v="AI_Call"/>
    <x v="1"/>
    <s v="Will pay next week"/>
    <n v="1"/>
    <s v="Delayed"/>
    <x v="2"/>
    <x v="1"/>
  </r>
  <r>
    <x v="89"/>
    <x v="0"/>
    <x v="1"/>
    <n v="53933"/>
    <n v="4500"/>
    <d v="2025-10-16T00:00:00"/>
    <d v="2025-10-16T00:00:00"/>
    <n v="0"/>
    <s v="AI_Call"/>
    <x v="1"/>
    <s v="Paid already"/>
    <n v="0"/>
    <s v="On Time"/>
    <x v="1"/>
    <x v="1"/>
  </r>
  <r>
    <x v="90"/>
    <x v="2"/>
    <x v="1"/>
    <n v="44951"/>
    <n v="2200"/>
    <d v="2025-10-08T00:00:00"/>
    <d v="2025-10-08T00:00:00"/>
    <n v="0"/>
    <s v="AI_Call"/>
    <x v="1"/>
    <s v="Dispute on EMI amount"/>
    <n v="0"/>
    <s v="On Time"/>
    <x v="1"/>
    <x v="1"/>
  </r>
  <r>
    <x v="91"/>
    <x v="1"/>
    <x v="0"/>
    <n v="52413"/>
    <n v="8700"/>
    <d v="2025-10-01T00:00:00"/>
    <d v="2025-10-01T00:00:00"/>
    <n v="0"/>
    <s v="IVR"/>
    <x v="0"/>
    <s v="Paid already"/>
    <n v="0"/>
    <s v="On Time"/>
    <x v="1"/>
    <x v="0"/>
  </r>
  <r>
    <x v="92"/>
    <x v="1"/>
    <x v="1"/>
    <n v="54801"/>
    <n v="2500"/>
    <d v="2025-10-12T00:00:00"/>
    <d v="2025-10-12T00:00:00"/>
    <n v="0"/>
    <s v="WhatsApp"/>
    <x v="1"/>
    <s v="Paid already"/>
    <n v="0"/>
    <s v="On Time"/>
    <x v="1"/>
    <x v="1"/>
  </r>
  <r>
    <x v="93"/>
    <x v="0"/>
    <x v="1"/>
    <n v="75619"/>
    <n v="3400"/>
    <d v="2025-10-05T00:00:00"/>
    <d v="2025-10-05T00:00:00"/>
    <n v="0"/>
    <s v="WhatsApp"/>
    <x v="1"/>
    <s v="Will pay next week"/>
    <n v="0"/>
    <s v="On Time"/>
    <x v="1"/>
    <x v="1"/>
  </r>
  <r>
    <x v="94"/>
    <x v="1"/>
    <x v="0"/>
    <n v="52913"/>
    <n v="6600"/>
    <d v="2025-10-03T00:00:00"/>
    <d v="2025-10-03T00:00:00"/>
    <n v="0"/>
    <s v="WhatsApp"/>
    <x v="1"/>
    <s v="Paid already"/>
    <n v="0"/>
    <s v="On Time"/>
    <x v="1"/>
    <x v="1"/>
  </r>
  <r>
    <x v="95"/>
    <x v="0"/>
    <x v="1"/>
    <n v="60600"/>
    <n v="3600"/>
    <d v="2025-10-01T00:00:00"/>
    <d v="2025-10-01T00:00:00"/>
    <n v="0"/>
    <s v="Agent"/>
    <x v="1"/>
    <s v="Paid already"/>
    <n v="0"/>
    <s v="On Time"/>
    <x v="1"/>
    <x v="1"/>
  </r>
  <r>
    <x v="96"/>
    <x v="0"/>
    <x v="0"/>
    <n v="77775"/>
    <n v="7100"/>
    <d v="2025-10-04T00:00:00"/>
    <d v="2025-10-04T00:00:00"/>
    <n v="0"/>
    <s v="WhatsApp"/>
    <x v="0"/>
    <s v="Dispute on EMI amount"/>
    <n v="0"/>
    <s v="On Time"/>
    <x v="1"/>
    <x v="0"/>
  </r>
  <r>
    <x v="97"/>
    <x v="0"/>
    <x v="1"/>
    <n v="55400"/>
    <n v="3500"/>
    <d v="2025-10-08T00:00:00"/>
    <d v="2025-10-23T00:00:00"/>
    <n v="15"/>
    <s v="AI_Call"/>
    <x v="0"/>
    <s v="Will pay tomorrow"/>
    <n v="1"/>
    <s v="Delayed"/>
    <x v="2"/>
    <x v="0"/>
  </r>
  <r>
    <x v="98"/>
    <x v="2"/>
    <x v="1"/>
    <n v="24494"/>
    <n v="3100"/>
    <d v="2025-10-03T00:00:00"/>
    <d v="2025-10-03T00:00:00"/>
    <n v="0"/>
    <s v="WhatsApp"/>
    <x v="1"/>
    <s v="Need settlement offer"/>
    <n v="0"/>
    <s v="On Time"/>
    <x v="1"/>
    <x v="1"/>
  </r>
  <r>
    <x v="99"/>
    <x v="2"/>
    <x v="1"/>
    <n v="94691"/>
    <n v="7300"/>
    <d v="2025-10-10T00:00:00"/>
    <d v="2025-10-10T00:00:00"/>
    <n v="0"/>
    <s v="IVR"/>
    <x v="1"/>
    <s v="Need settlement offer"/>
    <n v="0"/>
    <s v="On Time"/>
    <x v="1"/>
    <x v="1"/>
  </r>
  <r>
    <x v="100"/>
    <x v="2"/>
    <x v="1"/>
    <n v="63001"/>
    <n v="3300"/>
    <d v="2025-10-02T00:00:00"/>
    <d v="2025-10-02T00:00:00"/>
    <n v="0"/>
    <s v="AI_Call"/>
    <x v="0"/>
    <s v="Cannot pay right now"/>
    <n v="0"/>
    <s v="On Time"/>
    <x v="1"/>
    <x v="0"/>
  </r>
  <r>
    <x v="101"/>
    <x v="0"/>
    <x v="1"/>
    <n v="87364"/>
    <n v="4600"/>
    <d v="2025-10-11T00:00:00"/>
    <d v="2025-10-11T00:00:00"/>
    <n v="0"/>
    <s v="Agent"/>
    <x v="1"/>
    <s v="No response"/>
    <n v="0"/>
    <s v="On Time"/>
    <x v="1"/>
    <x v="1"/>
  </r>
  <r>
    <x v="102"/>
    <x v="0"/>
    <x v="1"/>
    <n v="65028"/>
    <n v="4300"/>
    <d v="2025-10-25T00:00:00"/>
    <d v="2025-12-09T00:00:00"/>
    <n v="45"/>
    <s v="WhatsApp"/>
    <x v="1"/>
    <s v="No response"/>
    <n v="1"/>
    <s v="Delayed"/>
    <x v="2"/>
    <x v="1"/>
  </r>
  <r>
    <x v="103"/>
    <x v="0"/>
    <x v="1"/>
    <n v="57573"/>
    <n v="8200"/>
    <d v="2025-10-10T00:00:00"/>
    <d v="2025-10-10T00:00:00"/>
    <n v="0"/>
    <s v="IVR"/>
    <x v="0"/>
    <s v="Cannot pay right now"/>
    <n v="0"/>
    <s v="On Time"/>
    <x v="1"/>
    <x v="0"/>
  </r>
  <r>
    <x v="104"/>
    <x v="1"/>
    <x v="1"/>
    <n v="20806"/>
    <n v="1100"/>
    <d v="2025-10-21T00:00:00"/>
    <d v="2025-10-28T00:00:00"/>
    <n v="7"/>
    <s v="IVR"/>
    <x v="1"/>
    <s v="Will pay tomorrow"/>
    <n v="1"/>
    <s v="Delayed"/>
    <x v="0"/>
    <x v="1"/>
  </r>
  <r>
    <x v="105"/>
    <x v="0"/>
    <x v="1"/>
    <n v="76638"/>
    <n v="5500"/>
    <d v="2025-10-14T00:00:00"/>
    <d v="2025-11-28T00:00:00"/>
    <n v="45"/>
    <s v="WhatsApp"/>
    <x v="1"/>
    <s v="Need settlement offer"/>
    <n v="1"/>
    <s v="Delayed"/>
    <x v="2"/>
    <x v="1"/>
  </r>
  <r>
    <x v="106"/>
    <x v="0"/>
    <x v="1"/>
    <n v="49757"/>
    <n v="6200"/>
    <d v="2025-10-07T00:00:00"/>
    <d v="2025-10-22T00:00:00"/>
    <n v="15"/>
    <s v="WhatsApp"/>
    <x v="1"/>
    <s v="Please stop calling"/>
    <n v="1"/>
    <s v="Delayed"/>
    <x v="2"/>
    <x v="1"/>
  </r>
  <r>
    <x v="107"/>
    <x v="1"/>
    <x v="1"/>
    <n v="54636"/>
    <n v="4200"/>
    <d v="2025-10-27T00:00:00"/>
    <d v="2025-10-30T00:00:00"/>
    <n v="3"/>
    <s v="IVR"/>
    <x v="1"/>
    <s v="Lost my job, need more time"/>
    <n v="1"/>
    <s v="Delayed"/>
    <x v="0"/>
    <x v="1"/>
  </r>
  <r>
    <x v="108"/>
    <x v="0"/>
    <x v="0"/>
    <n v="68280"/>
    <n v="3300"/>
    <d v="2025-10-27T00:00:00"/>
    <d v="2025-11-11T00:00:00"/>
    <n v="15"/>
    <s v="IVR"/>
    <x v="0"/>
    <s v="Will pay tomorrow"/>
    <n v="1"/>
    <s v="Delayed"/>
    <x v="2"/>
    <x v="0"/>
  </r>
  <r>
    <x v="109"/>
    <x v="2"/>
    <x v="0"/>
    <n v="44262"/>
    <n v="6300"/>
    <d v="2025-10-02T00:00:00"/>
    <d v="2025-12-01T00:00:00"/>
    <n v="60"/>
    <s v="AI_Call"/>
    <x v="1"/>
    <s v="Please stop calling"/>
    <n v="1"/>
    <s v="Delayed"/>
    <x v="2"/>
    <x v="1"/>
  </r>
  <r>
    <x v="110"/>
    <x v="0"/>
    <x v="1"/>
    <n v="82211"/>
    <n v="7500"/>
    <d v="2025-10-09T00:00:00"/>
    <d v="2025-10-12T00:00:00"/>
    <n v="3"/>
    <s v="IVR"/>
    <x v="1"/>
    <s v="Cannot pay right now"/>
    <n v="1"/>
    <s v="Delayed"/>
    <x v="0"/>
    <x v="1"/>
  </r>
  <r>
    <x v="111"/>
    <x v="2"/>
    <x v="0"/>
    <n v="74842"/>
    <n v="4400"/>
    <d v="2025-10-16T00:00:00"/>
    <d v="2025-10-19T00:00:00"/>
    <n v="3"/>
    <s v="IVR"/>
    <x v="1"/>
    <s v="Cannot pay right now"/>
    <n v="1"/>
    <s v="Delayed"/>
    <x v="0"/>
    <x v="1"/>
  </r>
  <r>
    <x v="112"/>
    <x v="1"/>
    <x v="0"/>
    <n v="76979"/>
    <n v="7700"/>
    <d v="2025-10-13T00:00:00"/>
    <d v="2025-10-16T00:00:00"/>
    <n v="3"/>
    <s v="IVR"/>
    <x v="1"/>
    <s v="Will clear dues soon"/>
    <n v="1"/>
    <s v="Delayed"/>
    <x v="0"/>
    <x v="1"/>
  </r>
  <r>
    <x v="113"/>
    <x v="1"/>
    <x v="1"/>
    <n v="58197"/>
    <n v="8300"/>
    <d v="2025-10-09T00:00:00"/>
    <d v="2025-10-09T00:00:00"/>
    <n v="0"/>
    <s v="AI_Call"/>
    <x v="1"/>
    <s v="Please stop calling"/>
    <n v="0"/>
    <s v="On Time"/>
    <x v="1"/>
    <x v="1"/>
  </r>
  <r>
    <x v="114"/>
    <x v="0"/>
    <x v="0"/>
    <n v="61844"/>
    <n v="2900"/>
    <d v="2025-10-20T00:00:00"/>
    <d v="2025-10-23T00:00:00"/>
    <n v="3"/>
    <s v="Agent"/>
    <x v="1"/>
    <s v="Will pay next week"/>
    <n v="1"/>
    <s v="Delayed"/>
    <x v="0"/>
    <x v="1"/>
  </r>
  <r>
    <x v="115"/>
    <x v="1"/>
    <x v="2"/>
    <n v="84754"/>
    <n v="8500"/>
    <d v="2025-10-04T00:00:00"/>
    <d v="2025-10-04T00:00:00"/>
    <n v="0"/>
    <s v="IVR"/>
    <x v="1"/>
    <s v="Need settlement offer"/>
    <n v="0"/>
    <s v="On Time"/>
    <x v="1"/>
    <x v="1"/>
  </r>
  <r>
    <x v="116"/>
    <x v="1"/>
    <x v="1"/>
    <n v="54157"/>
    <n v="2700"/>
    <d v="2025-10-22T00:00:00"/>
    <d v="2025-10-22T00:00:00"/>
    <n v="0"/>
    <s v="AI_Call"/>
    <x v="1"/>
    <s v="Please stop calling"/>
    <n v="0"/>
    <s v="On Time"/>
    <x v="1"/>
    <x v="1"/>
  </r>
  <r>
    <x v="117"/>
    <x v="2"/>
    <x v="1"/>
    <n v="97129"/>
    <n v="5700"/>
    <d v="2025-10-10T00:00:00"/>
    <d v="2025-10-10T00:00:00"/>
    <n v="0"/>
    <s v="WhatsApp"/>
    <x v="1"/>
    <s v="Cannot pay right now"/>
    <n v="0"/>
    <s v="On Time"/>
    <x v="1"/>
    <x v="1"/>
  </r>
  <r>
    <x v="118"/>
    <x v="1"/>
    <x v="0"/>
    <n v="60042"/>
    <n v="6700"/>
    <d v="2025-10-26T00:00:00"/>
    <d v="2025-10-26T00:00:00"/>
    <n v="0"/>
    <s v="IVR"/>
    <x v="1"/>
    <s v="Cannot pay right now"/>
    <n v="0"/>
    <s v="On Time"/>
    <x v="1"/>
    <x v="1"/>
  </r>
  <r>
    <x v="119"/>
    <x v="0"/>
    <x v="0"/>
    <n v="81665"/>
    <n v="4100"/>
    <d v="2025-10-26T00:00:00"/>
    <d v="2025-10-26T00:00:00"/>
    <n v="0"/>
    <s v="WhatsApp"/>
    <x v="1"/>
    <s v="Lost my job, need more time"/>
    <n v="0"/>
    <s v="On Time"/>
    <x v="1"/>
    <x v="1"/>
  </r>
  <r>
    <x v="120"/>
    <x v="1"/>
    <x v="1"/>
    <n v="47376"/>
    <n v="3000"/>
    <d v="2025-10-22T00:00:00"/>
    <d v="2025-10-22T00:00:00"/>
    <n v="0"/>
    <s v="IVR"/>
    <x v="0"/>
    <s v="Dispute on EMI amount"/>
    <n v="0"/>
    <s v="On Time"/>
    <x v="1"/>
    <x v="0"/>
  </r>
  <r>
    <x v="121"/>
    <x v="1"/>
    <x v="1"/>
    <n v="75554"/>
    <n v="3600"/>
    <d v="2025-10-12T00:00:00"/>
    <d v="2025-10-15T00:00:00"/>
    <n v="3"/>
    <s v="AI_Call"/>
    <x v="0"/>
    <s v="Will pay tomorrow"/>
    <n v="1"/>
    <s v="Delayed"/>
    <x v="0"/>
    <x v="0"/>
  </r>
  <r>
    <x v="122"/>
    <x v="0"/>
    <x v="1"/>
    <n v="34199"/>
    <n v="3100"/>
    <d v="2025-10-17T00:00:00"/>
    <d v="2025-10-17T00:00:00"/>
    <n v="0"/>
    <s v="Agent"/>
    <x v="1"/>
    <s v="Will clear dues soon"/>
    <n v="0"/>
    <s v="On Time"/>
    <x v="1"/>
    <x v="1"/>
  </r>
  <r>
    <x v="123"/>
    <x v="2"/>
    <x v="1"/>
    <n v="70948"/>
    <n v="3700"/>
    <d v="2025-10-14T00:00:00"/>
    <d v="2025-10-29T00:00:00"/>
    <n v="15"/>
    <s v="WhatsApp"/>
    <x v="1"/>
    <s v="Cannot pay right now"/>
    <n v="1"/>
    <s v="Delayed"/>
    <x v="2"/>
    <x v="1"/>
  </r>
  <r>
    <x v="124"/>
    <x v="0"/>
    <x v="0"/>
    <n v="93781"/>
    <n v="4100"/>
    <d v="2025-10-14T00:00:00"/>
    <d v="2025-10-14T00:00:00"/>
    <n v="0"/>
    <s v="AI_Call"/>
    <x v="1"/>
    <s v="Lost my job, need more time"/>
    <n v="0"/>
    <s v="On Time"/>
    <x v="1"/>
    <x v="1"/>
  </r>
  <r>
    <x v="125"/>
    <x v="0"/>
    <x v="1"/>
    <n v="92750"/>
    <n v="5500"/>
    <d v="2025-10-25T00:00:00"/>
    <d v="2025-10-25T00:00:00"/>
    <n v="0"/>
    <s v="IVR"/>
    <x v="1"/>
    <s v="Dispute on EMI amount"/>
    <n v="0"/>
    <s v="On Time"/>
    <x v="1"/>
    <x v="1"/>
  </r>
  <r>
    <x v="126"/>
    <x v="1"/>
    <x v="1"/>
    <n v="86262"/>
    <n v="5400"/>
    <d v="2025-10-02T00:00:00"/>
    <d v="2025-10-09T00:00:00"/>
    <n v="7"/>
    <s v="WhatsApp"/>
    <x v="1"/>
    <s v="Will pay next week"/>
    <n v="1"/>
    <s v="Delayed"/>
    <x v="0"/>
    <x v="1"/>
  </r>
  <r>
    <x v="127"/>
    <x v="1"/>
    <x v="0"/>
    <n v="66600"/>
    <n v="3700"/>
    <d v="2025-10-21T00:00:00"/>
    <d v="2025-10-24T00:00:00"/>
    <n v="3"/>
    <s v="WhatsApp"/>
    <x v="0"/>
    <s v="Will pay tomorrow"/>
    <n v="1"/>
    <s v="Delayed"/>
    <x v="0"/>
    <x v="0"/>
  </r>
  <r>
    <x v="128"/>
    <x v="2"/>
    <x v="1"/>
    <n v="96898"/>
    <n v="6100"/>
    <d v="2025-10-25T00:00:00"/>
    <d v="2025-10-25T00:00:00"/>
    <n v="0"/>
    <s v="WhatsApp"/>
    <x v="1"/>
    <s v="No response"/>
    <n v="0"/>
    <s v="On Time"/>
    <x v="1"/>
    <x v="1"/>
  </r>
  <r>
    <x v="129"/>
    <x v="0"/>
    <x v="1"/>
    <n v="82483"/>
    <n v="3900"/>
    <d v="2025-10-20T00:00:00"/>
    <d v="2025-11-19T00:00:00"/>
    <n v="30"/>
    <s v="WhatsApp"/>
    <x v="1"/>
    <s v="Dispute on EMI amount"/>
    <n v="1"/>
    <s v="Delayed"/>
    <x v="2"/>
    <x v="1"/>
  </r>
  <r>
    <x v="130"/>
    <x v="0"/>
    <x v="0"/>
    <n v="38297"/>
    <n v="1900"/>
    <d v="2025-10-11T00:00:00"/>
    <d v="2025-11-10T00:00:00"/>
    <n v="30"/>
    <s v="WhatsApp"/>
    <x v="1"/>
    <s v="Please stop calling"/>
    <n v="1"/>
    <s v="Delayed"/>
    <x v="2"/>
    <x v="1"/>
  </r>
  <r>
    <x v="131"/>
    <x v="0"/>
    <x v="0"/>
    <n v="50448"/>
    <n v="2500"/>
    <d v="2025-10-16T00:00:00"/>
    <d v="2025-10-16T00:00:00"/>
    <n v="0"/>
    <s v="WhatsApp"/>
    <x v="0"/>
    <s v="No response"/>
    <n v="0"/>
    <s v="On Time"/>
    <x v="1"/>
    <x v="0"/>
  </r>
  <r>
    <x v="132"/>
    <x v="2"/>
    <x v="0"/>
    <n v="46172"/>
    <n v="5100"/>
    <d v="2025-10-19T00:00:00"/>
    <d v="2025-10-19T00:00:00"/>
    <n v="0"/>
    <s v="WhatsApp"/>
    <x v="1"/>
    <s v="Paid already"/>
    <n v="0"/>
    <s v="On Time"/>
    <x v="1"/>
    <x v="1"/>
  </r>
  <r>
    <x v="133"/>
    <x v="0"/>
    <x v="0"/>
    <n v="62874"/>
    <n v="3900"/>
    <d v="2025-10-23T00:00:00"/>
    <d v="2025-12-22T00:00:00"/>
    <n v="60"/>
    <s v="AI_Call"/>
    <x v="1"/>
    <s v="Please stop calling"/>
    <n v="1"/>
    <s v="Delayed"/>
    <x v="2"/>
    <x v="1"/>
  </r>
  <r>
    <x v="134"/>
    <x v="1"/>
    <x v="1"/>
    <n v="27657"/>
    <n v="1400"/>
    <d v="2025-10-06T00:00:00"/>
    <d v="2025-10-09T00:00:00"/>
    <n v="3"/>
    <s v="IVR"/>
    <x v="1"/>
    <s v="Please stop calling"/>
    <n v="1"/>
    <s v="Delayed"/>
    <x v="0"/>
    <x v="1"/>
  </r>
  <r>
    <x v="135"/>
    <x v="0"/>
    <x v="1"/>
    <n v="45425"/>
    <n v="5000"/>
    <d v="2025-10-24T00:00:00"/>
    <d v="2025-10-24T00:00:00"/>
    <n v="0"/>
    <s v="Agent"/>
    <x v="1"/>
    <s v="Dispute on EMI amount"/>
    <n v="0"/>
    <s v="On Time"/>
    <x v="1"/>
    <x v="1"/>
  </r>
  <r>
    <x v="136"/>
    <x v="0"/>
    <x v="0"/>
    <n v="46685"/>
    <n v="2600"/>
    <d v="2025-10-19T00:00:00"/>
    <d v="2025-11-03T00:00:00"/>
    <n v="15"/>
    <s v="IVR"/>
    <x v="1"/>
    <s v="Lost my job, need more time"/>
    <n v="1"/>
    <s v="Delayed"/>
    <x v="2"/>
    <x v="1"/>
  </r>
  <r>
    <x v="137"/>
    <x v="1"/>
    <x v="1"/>
    <n v="44578"/>
    <n v="6400"/>
    <d v="2025-10-05T00:00:00"/>
    <d v="2025-10-05T00:00:00"/>
    <n v="0"/>
    <s v="AI_Call"/>
    <x v="0"/>
    <s v="Please stop calling"/>
    <n v="0"/>
    <s v="On Time"/>
    <x v="1"/>
    <x v="0"/>
  </r>
  <r>
    <x v="138"/>
    <x v="0"/>
    <x v="1"/>
    <n v="48831"/>
    <n v="2600"/>
    <d v="2025-10-26T00:00:00"/>
    <d v="2025-10-26T00:00:00"/>
    <n v="0"/>
    <s v="Agent"/>
    <x v="1"/>
    <s v="Need settlement offer"/>
    <n v="0"/>
    <s v="On Time"/>
    <x v="1"/>
    <x v="1"/>
  </r>
  <r>
    <x v="139"/>
    <x v="1"/>
    <x v="1"/>
    <n v="27906"/>
    <n v="3100"/>
    <d v="2025-10-04T00:00:00"/>
    <d v="2025-10-04T00:00:00"/>
    <n v="0"/>
    <s v="AI_Call"/>
    <x v="1"/>
    <s v="Lost my job, need more time"/>
    <n v="0"/>
    <s v="On Time"/>
    <x v="1"/>
    <x v="1"/>
  </r>
  <r>
    <x v="140"/>
    <x v="1"/>
    <x v="1"/>
    <n v="81413"/>
    <n v="3900"/>
    <d v="2025-10-15T00:00:00"/>
    <d v="2025-10-22T00:00:00"/>
    <n v="7"/>
    <s v="IVR"/>
    <x v="1"/>
    <s v="Dispute on EMI amount"/>
    <n v="1"/>
    <s v="Delayed"/>
    <x v="0"/>
    <x v="1"/>
  </r>
  <r>
    <x v="141"/>
    <x v="0"/>
    <x v="1"/>
    <n v="74028"/>
    <n v="3900"/>
    <d v="2025-10-29T00:00:00"/>
    <d v="2025-11-01T00:00:00"/>
    <n v="3"/>
    <s v="AI_Call"/>
    <x v="1"/>
    <s v="Please stop calling"/>
    <n v="1"/>
    <s v="Delayed"/>
    <x v="0"/>
    <x v="1"/>
  </r>
  <r>
    <x v="142"/>
    <x v="0"/>
    <x v="1"/>
    <n v="27287"/>
    <n v="1400"/>
    <d v="2025-10-04T00:00:00"/>
    <d v="2025-10-07T00:00:00"/>
    <n v="3"/>
    <s v="WhatsApp"/>
    <x v="1"/>
    <s v="Please stop calling"/>
    <n v="1"/>
    <s v="Delayed"/>
    <x v="0"/>
    <x v="1"/>
  </r>
  <r>
    <x v="143"/>
    <x v="0"/>
    <x v="1"/>
    <n v="53660"/>
    <n v="6700"/>
    <d v="2025-10-20T00:00:00"/>
    <d v="2025-10-20T00:00:00"/>
    <n v="0"/>
    <s v="WhatsApp"/>
    <x v="1"/>
    <s v="No response"/>
    <n v="0"/>
    <s v="On Time"/>
    <x v="1"/>
    <x v="1"/>
  </r>
  <r>
    <x v="144"/>
    <x v="0"/>
    <x v="1"/>
    <n v="95758"/>
    <n v="7400"/>
    <d v="2025-10-10T00:00:00"/>
    <d v="2025-10-10T00:00:00"/>
    <n v="0"/>
    <s v="IVR"/>
    <x v="1"/>
    <s v="Will pay next week"/>
    <n v="0"/>
    <s v="On Time"/>
    <x v="1"/>
    <x v="1"/>
  </r>
  <r>
    <x v="145"/>
    <x v="2"/>
    <x v="0"/>
    <n v="80504"/>
    <n v="3800"/>
    <d v="2025-10-24T00:00:00"/>
    <d v="2025-10-24T00:00:00"/>
    <n v="0"/>
    <s v="IVR"/>
    <x v="1"/>
    <s v="Paid already"/>
    <n v="0"/>
    <s v="On Time"/>
    <x v="1"/>
    <x v="1"/>
  </r>
  <r>
    <x v="146"/>
    <x v="0"/>
    <x v="0"/>
    <n v="79720"/>
    <n v="5300"/>
    <d v="2025-10-22T00:00:00"/>
    <d v="2025-10-29T00:00:00"/>
    <n v="7"/>
    <s v="WhatsApp"/>
    <x v="1"/>
    <s v="Lost my job, need more time"/>
    <n v="1"/>
    <s v="Delayed"/>
    <x v="0"/>
    <x v="1"/>
  </r>
  <r>
    <x v="147"/>
    <x v="0"/>
    <x v="0"/>
    <n v="54701"/>
    <n v="6100"/>
    <d v="2025-10-03T00:00:00"/>
    <d v="2025-10-03T00:00:00"/>
    <n v="0"/>
    <s v="Agent"/>
    <x v="0"/>
    <s v="Will pay tomorrow"/>
    <n v="0"/>
    <s v="On Time"/>
    <x v="1"/>
    <x v="0"/>
  </r>
  <r>
    <x v="148"/>
    <x v="2"/>
    <x v="0"/>
    <n v="37674"/>
    <n v="1600"/>
    <d v="2025-10-26T00:00:00"/>
    <d v="2025-10-26T00:00:00"/>
    <n v="0"/>
    <s v="AI_Call"/>
    <x v="1"/>
    <s v="Lost my job, need more time"/>
    <n v="0"/>
    <s v="On Time"/>
    <x v="1"/>
    <x v="1"/>
  </r>
  <r>
    <x v="149"/>
    <x v="0"/>
    <x v="1"/>
    <n v="43874"/>
    <n v="6300"/>
    <d v="2025-10-05T00:00:00"/>
    <d v="2025-10-20T00:00:00"/>
    <n v="15"/>
    <s v="IVR"/>
    <x v="1"/>
    <s v="No response"/>
    <n v="1"/>
    <s v="Delayed"/>
    <x v="2"/>
    <x v="1"/>
  </r>
  <r>
    <x v="150"/>
    <x v="1"/>
    <x v="1"/>
    <n v="63642"/>
    <n v="2900"/>
    <d v="2025-10-06T00:00:00"/>
    <d v="2025-10-06T00:00:00"/>
    <n v="0"/>
    <s v="Agent"/>
    <x v="1"/>
    <s v="No response"/>
    <n v="0"/>
    <s v="On Time"/>
    <x v="1"/>
    <x v="1"/>
  </r>
  <r>
    <x v="151"/>
    <x v="0"/>
    <x v="0"/>
    <n v="85160"/>
    <n v="4700"/>
    <d v="2025-10-21T00:00:00"/>
    <d v="2025-12-05T00:00:00"/>
    <n v="45"/>
    <s v="IVR"/>
    <x v="1"/>
    <s v="Need settlement offer"/>
    <n v="1"/>
    <s v="Delayed"/>
    <x v="2"/>
    <x v="1"/>
  </r>
  <r>
    <x v="152"/>
    <x v="2"/>
    <x v="0"/>
    <n v="37602"/>
    <n v="4200"/>
    <d v="2025-10-22T00:00:00"/>
    <d v="2025-10-22T00:00:00"/>
    <n v="0"/>
    <s v="Agent"/>
    <x v="1"/>
    <s v="Dispute on EMI amount"/>
    <n v="0"/>
    <s v="On Time"/>
    <x v="1"/>
    <x v="1"/>
  </r>
  <r>
    <x v="153"/>
    <x v="0"/>
    <x v="0"/>
    <n v="45931"/>
    <n v="2900"/>
    <d v="2025-10-08T00:00:00"/>
    <d v="2025-10-11T00:00:00"/>
    <n v="3"/>
    <s v="IVR"/>
    <x v="1"/>
    <s v="Will pay tomorrow"/>
    <n v="1"/>
    <s v="Delayed"/>
    <x v="0"/>
    <x v="1"/>
  </r>
  <r>
    <x v="154"/>
    <x v="1"/>
    <x v="1"/>
    <n v="49192"/>
    <n v="4100"/>
    <d v="2025-10-07T00:00:00"/>
    <d v="2025-10-07T00:00:00"/>
    <n v="0"/>
    <s v="WhatsApp"/>
    <x v="0"/>
    <s v="Will pay tomorrow"/>
    <n v="0"/>
    <s v="On Time"/>
    <x v="1"/>
    <x v="0"/>
  </r>
  <r>
    <x v="155"/>
    <x v="0"/>
    <x v="1"/>
    <n v="66542"/>
    <n v="3900"/>
    <d v="2025-10-21T00:00:00"/>
    <d v="2025-11-20T00:00:00"/>
    <n v="30"/>
    <s v="AI_Call"/>
    <x v="1"/>
    <s v="Paid already"/>
    <n v="1"/>
    <s v="Delayed"/>
    <x v="2"/>
    <x v="1"/>
  </r>
  <r>
    <x v="156"/>
    <x v="0"/>
    <x v="1"/>
    <n v="62520"/>
    <n v="4200"/>
    <d v="2025-10-10T00:00:00"/>
    <d v="2025-10-10T00:00:00"/>
    <n v="0"/>
    <s v="AI_Call"/>
    <x v="1"/>
    <s v="Dispute on EMI amount"/>
    <n v="0"/>
    <s v="On Time"/>
    <x v="1"/>
    <x v="1"/>
  </r>
  <r>
    <x v="157"/>
    <x v="1"/>
    <x v="1"/>
    <n v="84772"/>
    <n v="7100"/>
    <d v="2025-10-06T00:00:00"/>
    <d v="2025-10-06T00:00:00"/>
    <n v="0"/>
    <s v="AI_Call"/>
    <x v="1"/>
    <s v="Will clear dues soon"/>
    <n v="0"/>
    <s v="On Time"/>
    <x v="1"/>
    <x v="1"/>
  </r>
  <r>
    <x v="158"/>
    <x v="0"/>
    <x v="0"/>
    <n v="78762"/>
    <n v="4400"/>
    <d v="2025-10-14T00:00:00"/>
    <d v="2025-10-14T00:00:00"/>
    <n v="0"/>
    <s v="Agent"/>
    <x v="1"/>
    <s v="No response"/>
    <n v="0"/>
    <s v="On Time"/>
    <x v="1"/>
    <x v="1"/>
  </r>
  <r>
    <x v="159"/>
    <x v="1"/>
    <x v="0"/>
    <n v="70106"/>
    <n v="5800"/>
    <d v="2025-10-04T00:00:00"/>
    <d v="2025-10-04T00:00:00"/>
    <n v="0"/>
    <s v="AI_Call"/>
    <x v="0"/>
    <s v="Will pay tomorrow"/>
    <n v="0"/>
    <s v="On Time"/>
    <x v="1"/>
    <x v="0"/>
  </r>
  <r>
    <x v="160"/>
    <x v="0"/>
    <x v="1"/>
    <n v="45559"/>
    <n v="2100"/>
    <d v="2025-10-28T00:00:00"/>
    <d v="2025-10-28T00:00:00"/>
    <n v="0"/>
    <s v="AI_Call"/>
    <x v="0"/>
    <s v="Will pay next week"/>
    <n v="0"/>
    <s v="On Time"/>
    <x v="1"/>
    <x v="0"/>
  </r>
  <r>
    <x v="161"/>
    <x v="0"/>
    <x v="2"/>
    <n v="53742"/>
    <n v="3600"/>
    <d v="2025-10-25T00:00:00"/>
    <d v="2025-12-09T00:00:00"/>
    <n v="45"/>
    <s v="Agent"/>
    <x v="1"/>
    <s v="Will pay tomorrow"/>
    <n v="1"/>
    <s v="Delayed"/>
    <x v="2"/>
    <x v="1"/>
  </r>
  <r>
    <x v="162"/>
    <x v="0"/>
    <x v="0"/>
    <n v="89669"/>
    <n v="6000"/>
    <d v="2025-10-13T00:00:00"/>
    <d v="2025-10-13T00:00:00"/>
    <n v="0"/>
    <s v="AI_Call"/>
    <x v="1"/>
    <s v="Cannot pay right now"/>
    <n v="0"/>
    <s v="On Time"/>
    <x v="1"/>
    <x v="1"/>
  </r>
  <r>
    <x v="163"/>
    <x v="0"/>
    <x v="1"/>
    <n v="41754"/>
    <n v="4600"/>
    <d v="2025-10-20T00:00:00"/>
    <d v="2025-10-27T00:00:00"/>
    <n v="7"/>
    <s v="IVR"/>
    <x v="1"/>
    <s v="Cannot pay right now"/>
    <n v="1"/>
    <s v="Delayed"/>
    <x v="0"/>
    <x v="1"/>
  </r>
  <r>
    <x v="164"/>
    <x v="2"/>
    <x v="1"/>
    <n v="23972"/>
    <n v="2700"/>
    <d v="2025-10-17T00:00:00"/>
    <d v="2025-10-20T00:00:00"/>
    <n v="3"/>
    <s v="Agent"/>
    <x v="1"/>
    <s v="Paid already"/>
    <n v="1"/>
    <s v="Delayed"/>
    <x v="0"/>
    <x v="1"/>
  </r>
  <r>
    <x v="165"/>
    <x v="1"/>
    <x v="1"/>
    <n v="90831"/>
    <n v="7600"/>
    <d v="2025-10-23T00:00:00"/>
    <d v="2025-10-26T00:00:00"/>
    <n v="3"/>
    <s v="WhatsApp"/>
    <x v="1"/>
    <s v="Will pay tomorrow"/>
    <n v="1"/>
    <s v="Delayed"/>
    <x v="0"/>
    <x v="1"/>
  </r>
  <r>
    <x v="166"/>
    <x v="0"/>
    <x v="1"/>
    <n v="61873"/>
    <n v="10300"/>
    <d v="2025-10-07T00:00:00"/>
    <d v="2025-10-07T00:00:00"/>
    <n v="0"/>
    <s v="AI_Call"/>
    <x v="1"/>
    <s v="Will pay tomorrow"/>
    <n v="0"/>
    <s v="On Time"/>
    <x v="1"/>
    <x v="1"/>
  </r>
  <r>
    <x v="167"/>
    <x v="2"/>
    <x v="1"/>
    <n v="29903"/>
    <n v="1800"/>
    <d v="2025-10-04T00:00:00"/>
    <d v="2025-10-04T00:00:00"/>
    <n v="0"/>
    <s v="Agent"/>
    <x v="1"/>
    <s v="Paid already"/>
    <n v="0"/>
    <s v="On Time"/>
    <x v="1"/>
    <x v="1"/>
  </r>
  <r>
    <x v="168"/>
    <x v="2"/>
    <x v="1"/>
    <n v="23020"/>
    <n v="1300"/>
    <d v="2025-10-29T00:00:00"/>
    <d v="2025-11-05T00:00:00"/>
    <n v="7"/>
    <s v="AI_Call"/>
    <x v="1"/>
    <s v="Will pay next week"/>
    <n v="1"/>
    <s v="Delayed"/>
    <x v="0"/>
    <x v="1"/>
  </r>
  <r>
    <x v="169"/>
    <x v="0"/>
    <x v="1"/>
    <n v="61755"/>
    <n v="4100"/>
    <d v="2025-10-14T00:00:00"/>
    <d v="2025-11-28T00:00:00"/>
    <n v="45"/>
    <s v="AI_Call"/>
    <x v="1"/>
    <s v="Will pay next week"/>
    <n v="1"/>
    <s v="Delayed"/>
    <x v="2"/>
    <x v="1"/>
  </r>
  <r>
    <x v="170"/>
    <x v="0"/>
    <x v="1"/>
    <n v="65648"/>
    <n v="3300"/>
    <d v="2025-10-03T00:00:00"/>
    <d v="2025-10-03T00:00:00"/>
    <n v="0"/>
    <s v="AI_Call"/>
    <x v="1"/>
    <s v="No response"/>
    <n v="0"/>
    <s v="On Time"/>
    <x v="1"/>
    <x v="1"/>
  </r>
  <r>
    <x v="171"/>
    <x v="2"/>
    <x v="0"/>
    <n v="29516"/>
    <n v="1600"/>
    <d v="2025-10-24T00:00:00"/>
    <d v="2025-10-24T00:00:00"/>
    <n v="0"/>
    <s v="IVR"/>
    <x v="0"/>
    <s v="Will clear dues soon"/>
    <n v="0"/>
    <s v="On Time"/>
    <x v="1"/>
    <x v="0"/>
  </r>
  <r>
    <x v="172"/>
    <x v="0"/>
    <x v="1"/>
    <n v="22396"/>
    <n v="1600"/>
    <d v="2025-10-05T00:00:00"/>
    <d v="2025-10-05T00:00:00"/>
    <n v="0"/>
    <s v="Agent"/>
    <x v="1"/>
    <s v="Will pay next week"/>
    <n v="0"/>
    <s v="On Time"/>
    <x v="1"/>
    <x v="1"/>
  </r>
  <r>
    <x v="173"/>
    <x v="0"/>
    <x v="0"/>
    <n v="39129"/>
    <n v="2800"/>
    <d v="2025-10-16T00:00:00"/>
    <d v="2025-12-15T00:00:00"/>
    <n v="60"/>
    <s v="WhatsApp"/>
    <x v="1"/>
    <s v="Paid already"/>
    <n v="1"/>
    <s v="Delayed"/>
    <x v="2"/>
    <x v="1"/>
  </r>
  <r>
    <x v="174"/>
    <x v="0"/>
    <x v="1"/>
    <n v="21591"/>
    <n v="1100"/>
    <d v="2025-10-26T00:00:00"/>
    <d v="2025-10-26T00:00:00"/>
    <n v="0"/>
    <s v="WhatsApp"/>
    <x v="1"/>
    <s v="Need settlement offer"/>
    <n v="0"/>
    <s v="On Time"/>
    <x v="1"/>
    <x v="1"/>
  </r>
  <r>
    <x v="175"/>
    <x v="2"/>
    <x v="2"/>
    <n v="31303"/>
    <n v="2100"/>
    <d v="2025-10-23T00:00:00"/>
    <d v="2025-10-23T00:00:00"/>
    <n v="0"/>
    <s v="WhatsApp"/>
    <x v="1"/>
    <s v="Need settlement offer"/>
    <n v="0"/>
    <s v="On Time"/>
    <x v="1"/>
    <x v="1"/>
  </r>
  <r>
    <x v="176"/>
    <x v="0"/>
    <x v="1"/>
    <n v="50561"/>
    <n v="3400"/>
    <d v="2025-10-20T00:00:00"/>
    <d v="2025-11-19T00:00:00"/>
    <n v="30"/>
    <s v="IVR"/>
    <x v="1"/>
    <s v="Cannot pay right now"/>
    <n v="1"/>
    <s v="Delayed"/>
    <x v="2"/>
    <x v="1"/>
  </r>
  <r>
    <x v="177"/>
    <x v="0"/>
    <x v="1"/>
    <n v="91719"/>
    <n v="7100"/>
    <d v="2025-10-04T00:00:00"/>
    <d v="2025-10-04T00:00:00"/>
    <n v="0"/>
    <s v="IVR"/>
    <x v="1"/>
    <s v="Will pay next week"/>
    <n v="0"/>
    <s v="On Time"/>
    <x v="1"/>
    <x v="1"/>
  </r>
  <r>
    <x v="178"/>
    <x v="1"/>
    <x v="2"/>
    <n v="27314"/>
    <n v="1300"/>
    <d v="2025-10-24T00:00:00"/>
    <d v="2025-10-24T00:00:00"/>
    <n v="0"/>
    <s v="AI_Call"/>
    <x v="0"/>
    <s v="Paid already"/>
    <n v="0"/>
    <s v="On Time"/>
    <x v="1"/>
    <x v="0"/>
  </r>
  <r>
    <x v="179"/>
    <x v="2"/>
    <x v="0"/>
    <n v="39623"/>
    <n v="1800"/>
    <d v="2025-10-30T00:00:00"/>
    <d v="2025-11-02T00:00:00"/>
    <n v="3"/>
    <s v="IVR"/>
    <x v="1"/>
    <s v="Will pay next week"/>
    <n v="1"/>
    <s v="Delayed"/>
    <x v="0"/>
    <x v="1"/>
  </r>
  <r>
    <x v="180"/>
    <x v="0"/>
    <x v="0"/>
    <n v="87675"/>
    <n v="8800"/>
    <d v="2025-10-24T00:00:00"/>
    <d v="2025-11-23T00:00:00"/>
    <n v="30"/>
    <s v="IVR"/>
    <x v="1"/>
    <s v="Cannot pay right now"/>
    <n v="1"/>
    <s v="Delayed"/>
    <x v="2"/>
    <x v="1"/>
  </r>
  <r>
    <x v="181"/>
    <x v="2"/>
    <x v="1"/>
    <n v="85082"/>
    <n v="9500"/>
    <d v="2025-10-02T00:00:00"/>
    <d v="2025-10-02T00:00:00"/>
    <n v="0"/>
    <s v="WhatsApp"/>
    <x v="1"/>
    <s v="Please stop calling"/>
    <n v="0"/>
    <s v="On Time"/>
    <x v="1"/>
    <x v="1"/>
  </r>
  <r>
    <x v="182"/>
    <x v="1"/>
    <x v="1"/>
    <n v="53130"/>
    <n v="2300"/>
    <d v="2025-10-30T00:00:00"/>
    <d v="2025-10-30T00:00:00"/>
    <n v="0"/>
    <s v="IVR"/>
    <x v="1"/>
    <s v="Lost my job, need more time"/>
    <n v="0"/>
    <s v="On Time"/>
    <x v="1"/>
    <x v="1"/>
  </r>
  <r>
    <x v="183"/>
    <x v="1"/>
    <x v="0"/>
    <n v="71756"/>
    <n v="8000"/>
    <d v="2025-10-18T00:00:00"/>
    <d v="2025-10-18T00:00:00"/>
    <n v="0"/>
    <s v="AI_Call"/>
    <x v="0"/>
    <s v="No response"/>
    <n v="0"/>
    <s v="On Time"/>
    <x v="1"/>
    <x v="0"/>
  </r>
  <r>
    <x v="184"/>
    <x v="0"/>
    <x v="2"/>
    <n v="46292"/>
    <n v="3900"/>
    <d v="2025-10-19T00:00:00"/>
    <d v="2025-10-19T00:00:00"/>
    <n v="0"/>
    <s v="WhatsApp"/>
    <x v="1"/>
    <s v="No response"/>
    <n v="0"/>
    <s v="On Time"/>
    <x v="1"/>
    <x v="1"/>
  </r>
  <r>
    <x v="185"/>
    <x v="0"/>
    <x v="0"/>
    <n v="89274"/>
    <n v="6000"/>
    <d v="2025-10-28T00:00:00"/>
    <d v="2025-10-31T00:00:00"/>
    <n v="3"/>
    <s v="WhatsApp"/>
    <x v="1"/>
    <s v="Cannot pay right now"/>
    <n v="1"/>
    <s v="Delayed"/>
    <x v="0"/>
    <x v="1"/>
  </r>
  <r>
    <x v="186"/>
    <x v="1"/>
    <x v="0"/>
    <n v="22469"/>
    <n v="1000"/>
    <d v="2025-10-28T00:00:00"/>
    <d v="2025-10-28T00:00:00"/>
    <n v="0"/>
    <s v="WhatsApp"/>
    <x v="1"/>
    <s v="No response"/>
    <n v="0"/>
    <s v="On Time"/>
    <x v="1"/>
    <x v="1"/>
  </r>
  <r>
    <x v="187"/>
    <x v="0"/>
    <x v="1"/>
    <n v="73947"/>
    <n v="8200"/>
    <d v="2025-10-19T00:00:00"/>
    <d v="2025-10-19T00:00:00"/>
    <n v="0"/>
    <s v="WhatsApp"/>
    <x v="1"/>
    <s v="Paid already"/>
    <n v="0"/>
    <s v="On Time"/>
    <x v="1"/>
    <x v="1"/>
  </r>
  <r>
    <x v="188"/>
    <x v="0"/>
    <x v="0"/>
    <n v="42534"/>
    <n v="2800"/>
    <d v="2025-10-17T00:00:00"/>
    <d v="2025-10-17T00:00:00"/>
    <n v="0"/>
    <s v="IVR"/>
    <x v="1"/>
    <s v="Please stop calling"/>
    <n v="0"/>
    <s v="On Time"/>
    <x v="1"/>
    <x v="1"/>
  </r>
  <r>
    <x v="189"/>
    <x v="0"/>
    <x v="1"/>
    <n v="83620"/>
    <n v="13900"/>
    <d v="2025-10-14T00:00:00"/>
    <d v="2025-10-17T00:00:00"/>
    <n v="3"/>
    <s v="WhatsApp"/>
    <x v="0"/>
    <s v="Please stop calling"/>
    <n v="1"/>
    <s v="Delayed"/>
    <x v="0"/>
    <x v="0"/>
  </r>
  <r>
    <x v="190"/>
    <x v="2"/>
    <x v="1"/>
    <n v="68874"/>
    <n v="3000"/>
    <d v="2025-10-19T00:00:00"/>
    <d v="2025-10-19T00:00:00"/>
    <n v="0"/>
    <s v="AI_Call"/>
    <x v="1"/>
    <s v="Dispute on EMI amount"/>
    <n v="0"/>
    <s v="On Time"/>
    <x v="1"/>
    <x v="1"/>
  </r>
  <r>
    <x v="191"/>
    <x v="1"/>
    <x v="1"/>
    <n v="69708"/>
    <n v="7000"/>
    <d v="2025-10-22T00:00:00"/>
    <d v="2025-11-06T00:00:00"/>
    <n v="15"/>
    <s v="AI_Call"/>
    <x v="1"/>
    <s v="Need settlement offer"/>
    <n v="1"/>
    <s v="Delayed"/>
    <x v="2"/>
    <x v="1"/>
  </r>
  <r>
    <x v="192"/>
    <x v="1"/>
    <x v="0"/>
    <n v="94553"/>
    <n v="4700"/>
    <d v="2025-10-24T00:00:00"/>
    <d v="2025-10-24T00:00:00"/>
    <n v="0"/>
    <s v="IVR"/>
    <x v="0"/>
    <s v="Will pay tomorrow"/>
    <n v="0"/>
    <s v="On Time"/>
    <x v="1"/>
    <x v="0"/>
  </r>
  <r>
    <x v="193"/>
    <x v="0"/>
    <x v="1"/>
    <n v="88344"/>
    <n v="4000"/>
    <d v="2025-10-13T00:00:00"/>
    <d v="2025-10-28T00:00:00"/>
    <n v="15"/>
    <s v="Agent"/>
    <x v="0"/>
    <s v="Paid already"/>
    <n v="1"/>
    <s v="Delayed"/>
    <x v="2"/>
    <x v="0"/>
  </r>
  <r>
    <x v="194"/>
    <x v="0"/>
    <x v="1"/>
    <n v="69138"/>
    <n v="8600"/>
    <d v="2025-10-12T00:00:00"/>
    <d v="2025-10-27T00:00:00"/>
    <n v="15"/>
    <s v="IVR"/>
    <x v="0"/>
    <s v="Lost my job, need more time"/>
    <n v="1"/>
    <s v="Delayed"/>
    <x v="2"/>
    <x v="0"/>
  </r>
  <r>
    <x v="195"/>
    <x v="0"/>
    <x v="0"/>
    <n v="74302"/>
    <n v="4400"/>
    <d v="2025-10-30T00:00:00"/>
    <d v="2025-10-30T00:00:00"/>
    <n v="0"/>
    <s v="IVR"/>
    <x v="0"/>
    <s v="Will pay next week"/>
    <n v="0"/>
    <s v="On Time"/>
    <x v="1"/>
    <x v="0"/>
  </r>
  <r>
    <x v="196"/>
    <x v="1"/>
    <x v="1"/>
    <n v="67638"/>
    <n v="9700"/>
    <d v="2025-10-26T00:00:00"/>
    <d v="2025-10-26T00:00:00"/>
    <n v="0"/>
    <s v="Agent"/>
    <x v="1"/>
    <s v="Will pay tomorrow"/>
    <n v="0"/>
    <s v="On Time"/>
    <x v="1"/>
    <x v="1"/>
  </r>
  <r>
    <x v="197"/>
    <x v="1"/>
    <x v="0"/>
    <n v="98249"/>
    <n v="16400"/>
    <d v="2025-10-06T00:00:00"/>
    <d v="2025-10-06T00:00:00"/>
    <n v="0"/>
    <s v="WhatsApp"/>
    <x v="1"/>
    <s v="Will pay next week"/>
    <n v="0"/>
    <s v="On Time"/>
    <x v="1"/>
    <x v="1"/>
  </r>
  <r>
    <x v="198"/>
    <x v="1"/>
    <x v="1"/>
    <n v="22719"/>
    <n v="1000"/>
    <d v="2025-10-21T00:00:00"/>
    <d v="2025-10-21T00:00:00"/>
    <n v="0"/>
    <s v="Agent"/>
    <x v="1"/>
    <s v="Need settlement offer"/>
    <n v="0"/>
    <s v="On Time"/>
    <x v="1"/>
    <x v="1"/>
  </r>
  <r>
    <x v="199"/>
    <x v="1"/>
    <x v="1"/>
    <n v="42890"/>
    <n v="2000"/>
    <d v="2025-10-04T00:00:00"/>
    <d v="2025-10-04T00:00:00"/>
    <n v="0"/>
    <s v="WhatsApp"/>
    <x v="1"/>
    <s v="Will pay next week"/>
    <n v="0"/>
    <s v="On Time"/>
    <x v="1"/>
    <x v="1"/>
  </r>
  <r>
    <x v="200"/>
    <x v="0"/>
    <x v="0"/>
    <n v="97236"/>
    <n v="9700"/>
    <d v="2025-10-19T00:00:00"/>
    <d v="2025-10-19T00:00:00"/>
    <n v="0"/>
    <s v="IVR"/>
    <x v="1"/>
    <s v="Need settlement offer"/>
    <n v="0"/>
    <s v="On Time"/>
    <x v="1"/>
    <x v="1"/>
  </r>
  <r>
    <x v="201"/>
    <x v="2"/>
    <x v="1"/>
    <n v="56509"/>
    <n v="2800"/>
    <d v="2025-10-16T00:00:00"/>
    <d v="2025-10-16T00:00:00"/>
    <n v="0"/>
    <s v="WhatsApp"/>
    <x v="1"/>
    <s v="Will pay tomorrow"/>
    <n v="0"/>
    <s v="On Time"/>
    <x v="1"/>
    <x v="1"/>
  </r>
  <r>
    <x v="202"/>
    <x v="2"/>
    <x v="1"/>
    <n v="62534"/>
    <n v="7800"/>
    <d v="2025-10-13T00:00:00"/>
    <d v="2025-10-28T00:00:00"/>
    <n v="15"/>
    <s v="AI_Call"/>
    <x v="1"/>
    <s v="Cannot pay right now"/>
    <n v="1"/>
    <s v="Delayed"/>
    <x v="2"/>
    <x v="1"/>
  </r>
  <r>
    <x v="203"/>
    <x v="1"/>
    <x v="1"/>
    <n v="38787"/>
    <n v="3200"/>
    <d v="2025-10-04T00:00:00"/>
    <d v="2025-10-04T00:00:00"/>
    <n v="0"/>
    <s v="AI_Call"/>
    <x v="1"/>
    <s v="No response"/>
    <n v="0"/>
    <s v="On Time"/>
    <x v="1"/>
    <x v="1"/>
  </r>
  <r>
    <x v="204"/>
    <x v="0"/>
    <x v="1"/>
    <n v="68845"/>
    <n v="4300"/>
    <d v="2025-10-30T00:00:00"/>
    <d v="2025-11-14T00:00:00"/>
    <n v="15"/>
    <s v="AI_Call"/>
    <x v="1"/>
    <s v="Will pay next week"/>
    <n v="1"/>
    <s v="Delayed"/>
    <x v="2"/>
    <x v="1"/>
  </r>
  <r>
    <x v="205"/>
    <x v="2"/>
    <x v="2"/>
    <n v="77932"/>
    <n v="5200"/>
    <d v="2025-10-23T00:00:00"/>
    <d v="2025-10-23T00:00:00"/>
    <n v="0"/>
    <s v="IVR"/>
    <x v="1"/>
    <s v="Will pay tomorrow"/>
    <n v="0"/>
    <s v="On Time"/>
    <x v="1"/>
    <x v="1"/>
  </r>
  <r>
    <x v="206"/>
    <x v="2"/>
    <x v="1"/>
    <n v="53062"/>
    <n v="3800"/>
    <d v="2025-10-17T00:00:00"/>
    <d v="2025-11-16T00:00:00"/>
    <n v="30"/>
    <s v="IVR"/>
    <x v="1"/>
    <s v="Lost my job, need more time"/>
    <n v="1"/>
    <s v="Delayed"/>
    <x v="2"/>
    <x v="1"/>
  </r>
  <r>
    <x v="207"/>
    <x v="0"/>
    <x v="0"/>
    <n v="95713"/>
    <n v="5000"/>
    <d v="2025-10-23T00:00:00"/>
    <d v="2025-10-26T00:00:00"/>
    <n v="3"/>
    <s v="WhatsApp"/>
    <x v="0"/>
    <s v="Will pay next week"/>
    <n v="1"/>
    <s v="Delayed"/>
    <x v="0"/>
    <x v="0"/>
  </r>
  <r>
    <x v="208"/>
    <x v="2"/>
    <x v="1"/>
    <n v="80461"/>
    <n v="4500"/>
    <d v="2025-10-01T00:00:00"/>
    <d v="2025-10-01T00:00:00"/>
    <n v="0"/>
    <s v="WhatsApp"/>
    <x v="1"/>
    <s v="No response"/>
    <n v="0"/>
    <s v="On Time"/>
    <x v="1"/>
    <x v="1"/>
  </r>
  <r>
    <x v="209"/>
    <x v="2"/>
    <x v="0"/>
    <n v="95418"/>
    <n v="13600"/>
    <d v="2025-10-18T00:00:00"/>
    <d v="2025-10-21T00:00:00"/>
    <n v="3"/>
    <s v="Agent"/>
    <x v="1"/>
    <s v="Cannot pay right now"/>
    <n v="1"/>
    <s v="Delayed"/>
    <x v="0"/>
    <x v="1"/>
  </r>
  <r>
    <x v="210"/>
    <x v="0"/>
    <x v="0"/>
    <n v="86672"/>
    <n v="10800"/>
    <d v="2025-10-20T00:00:00"/>
    <d v="2025-10-20T00:00:00"/>
    <n v="0"/>
    <s v="IVR"/>
    <x v="1"/>
    <s v="Cannot pay right now"/>
    <n v="0"/>
    <s v="On Time"/>
    <x v="1"/>
    <x v="1"/>
  </r>
  <r>
    <x v="211"/>
    <x v="0"/>
    <x v="0"/>
    <n v="54832"/>
    <n v="4600"/>
    <d v="2025-10-17T00:00:00"/>
    <d v="2025-10-17T00:00:00"/>
    <n v="0"/>
    <s v="AI_Call"/>
    <x v="1"/>
    <s v="Lost my job, need more time"/>
    <n v="0"/>
    <s v="On Time"/>
    <x v="1"/>
    <x v="1"/>
  </r>
  <r>
    <x v="212"/>
    <x v="0"/>
    <x v="1"/>
    <n v="51966"/>
    <n v="2300"/>
    <d v="2025-10-27T00:00:00"/>
    <d v="2025-11-26T00:00:00"/>
    <n v="30"/>
    <s v="AI_Call"/>
    <x v="1"/>
    <s v="Paid already"/>
    <n v="1"/>
    <s v="Delayed"/>
    <x v="2"/>
    <x v="1"/>
  </r>
  <r>
    <x v="213"/>
    <x v="0"/>
    <x v="1"/>
    <n v="92545"/>
    <n v="11600"/>
    <d v="2025-10-28T00:00:00"/>
    <d v="2025-10-28T00:00:00"/>
    <n v="0"/>
    <s v="IVR"/>
    <x v="1"/>
    <s v="Lost my job, need more time"/>
    <n v="0"/>
    <s v="On Time"/>
    <x v="1"/>
    <x v="1"/>
  </r>
  <r>
    <x v="214"/>
    <x v="1"/>
    <x v="1"/>
    <n v="32987"/>
    <n v="2200"/>
    <d v="2025-10-27T00:00:00"/>
    <d v="2025-10-27T00:00:00"/>
    <n v="0"/>
    <s v="AI_Call"/>
    <x v="1"/>
    <s v="Will pay next week"/>
    <n v="0"/>
    <s v="On Time"/>
    <x v="1"/>
    <x v="1"/>
  </r>
  <r>
    <x v="215"/>
    <x v="0"/>
    <x v="2"/>
    <n v="57311"/>
    <n v="4800"/>
    <d v="2025-10-15T00:00:00"/>
    <d v="2025-10-22T00:00:00"/>
    <n v="7"/>
    <s v="WhatsApp"/>
    <x v="1"/>
    <s v="Paid already"/>
    <n v="1"/>
    <s v="Delayed"/>
    <x v="0"/>
    <x v="1"/>
  </r>
  <r>
    <x v="216"/>
    <x v="0"/>
    <x v="0"/>
    <n v="51575"/>
    <n v="3700"/>
    <d v="2025-10-11T00:00:00"/>
    <d v="2025-11-10T00:00:00"/>
    <n v="30"/>
    <s v="WhatsApp"/>
    <x v="1"/>
    <s v="Please stop calling"/>
    <n v="1"/>
    <s v="Delayed"/>
    <x v="2"/>
    <x v="1"/>
  </r>
  <r>
    <x v="217"/>
    <x v="1"/>
    <x v="2"/>
    <n v="83852"/>
    <n v="3800"/>
    <d v="2025-10-25T00:00:00"/>
    <d v="2025-10-28T00:00:00"/>
    <n v="3"/>
    <s v="WhatsApp"/>
    <x v="1"/>
    <s v="Cannot pay right now"/>
    <n v="1"/>
    <s v="Delayed"/>
    <x v="0"/>
    <x v="1"/>
  </r>
  <r>
    <x v="218"/>
    <x v="0"/>
    <x v="1"/>
    <n v="21007"/>
    <n v="1300"/>
    <d v="2025-10-28T00:00:00"/>
    <d v="2025-10-28T00:00:00"/>
    <n v="0"/>
    <s v="IVR"/>
    <x v="1"/>
    <s v="No response"/>
    <n v="0"/>
    <s v="On Time"/>
    <x v="1"/>
    <x v="1"/>
  </r>
  <r>
    <x v="219"/>
    <x v="1"/>
    <x v="0"/>
    <n v="90981"/>
    <n v="7600"/>
    <d v="2025-10-22T00:00:00"/>
    <d v="2025-10-25T00:00:00"/>
    <n v="3"/>
    <s v="IVR"/>
    <x v="0"/>
    <s v="Cannot pay right now"/>
    <n v="1"/>
    <s v="Delayed"/>
    <x v="0"/>
    <x v="0"/>
  </r>
  <r>
    <x v="220"/>
    <x v="0"/>
    <x v="2"/>
    <n v="96242"/>
    <n v="5100"/>
    <d v="2025-10-13T00:00:00"/>
    <d v="2025-10-13T00:00:00"/>
    <n v="0"/>
    <s v="IVR"/>
    <x v="1"/>
    <s v="Cannot pay right now"/>
    <n v="0"/>
    <s v="On Time"/>
    <x v="1"/>
    <x v="1"/>
  </r>
  <r>
    <x v="221"/>
    <x v="0"/>
    <x v="1"/>
    <n v="67517"/>
    <n v="7500"/>
    <d v="2025-10-01T00:00:00"/>
    <d v="2025-10-08T00:00:00"/>
    <n v="7"/>
    <s v="IVR"/>
    <x v="0"/>
    <s v="Dispute on EMI amount"/>
    <n v="1"/>
    <s v="Delayed"/>
    <x v="0"/>
    <x v="0"/>
  </r>
  <r>
    <x v="222"/>
    <x v="2"/>
    <x v="1"/>
    <n v="49257"/>
    <n v="4500"/>
    <d v="2025-10-17T00:00:00"/>
    <d v="2025-12-01T00:00:00"/>
    <n v="45"/>
    <s v="IVR"/>
    <x v="1"/>
    <s v="Will pay tomorrow"/>
    <n v="1"/>
    <s v="Delayed"/>
    <x v="2"/>
    <x v="1"/>
  </r>
  <r>
    <x v="223"/>
    <x v="0"/>
    <x v="0"/>
    <n v="62207"/>
    <n v="4100"/>
    <d v="2025-10-06T00:00:00"/>
    <d v="2025-10-13T00:00:00"/>
    <n v="7"/>
    <s v="AI_Call"/>
    <x v="1"/>
    <s v="Will pay tomorrow"/>
    <n v="1"/>
    <s v="Delayed"/>
    <x v="0"/>
    <x v="1"/>
  </r>
  <r>
    <x v="224"/>
    <x v="0"/>
    <x v="0"/>
    <n v="33281"/>
    <n v="2800"/>
    <d v="2025-10-04T00:00:00"/>
    <d v="2025-10-19T00:00:00"/>
    <n v="15"/>
    <s v="AI_Call"/>
    <x v="1"/>
    <s v="Cannot pay right now"/>
    <n v="1"/>
    <s v="Delayed"/>
    <x v="2"/>
    <x v="1"/>
  </r>
  <r>
    <x v="225"/>
    <x v="0"/>
    <x v="0"/>
    <n v="81246"/>
    <n v="4500"/>
    <d v="2025-10-20T00:00:00"/>
    <d v="2025-10-20T00:00:00"/>
    <n v="0"/>
    <s v="WhatsApp"/>
    <x v="0"/>
    <s v="Will clear dues soon"/>
    <n v="0"/>
    <s v="On Time"/>
    <x v="1"/>
    <x v="0"/>
  </r>
  <r>
    <x v="226"/>
    <x v="1"/>
    <x v="1"/>
    <n v="21435"/>
    <n v="1100"/>
    <d v="2025-10-16T00:00:00"/>
    <d v="2025-10-23T00:00:00"/>
    <n v="7"/>
    <s v="WhatsApp"/>
    <x v="1"/>
    <s v="Need settlement offer"/>
    <n v="1"/>
    <s v="Delayed"/>
    <x v="0"/>
    <x v="1"/>
  </r>
  <r>
    <x v="227"/>
    <x v="0"/>
    <x v="0"/>
    <n v="46660"/>
    <n v="5200"/>
    <d v="2025-10-15T00:00:00"/>
    <d v="2025-10-30T00:00:00"/>
    <n v="15"/>
    <s v="AI_Call"/>
    <x v="1"/>
    <s v="Lost my job, need more time"/>
    <n v="1"/>
    <s v="Delayed"/>
    <x v="2"/>
    <x v="1"/>
  </r>
  <r>
    <x v="228"/>
    <x v="1"/>
    <x v="1"/>
    <n v="25084"/>
    <n v="1900"/>
    <d v="2025-10-27T00:00:00"/>
    <d v="2025-10-27T00:00:00"/>
    <n v="0"/>
    <s v="IVR"/>
    <x v="0"/>
    <s v="Please stop calling"/>
    <n v="0"/>
    <s v="On Time"/>
    <x v="1"/>
    <x v="0"/>
  </r>
  <r>
    <x v="229"/>
    <x v="0"/>
    <x v="1"/>
    <n v="33507"/>
    <n v="3400"/>
    <d v="2025-10-15T00:00:00"/>
    <d v="2025-11-14T00:00:00"/>
    <n v="30"/>
    <s v="AI_Call"/>
    <x v="1"/>
    <s v="Paid already"/>
    <n v="1"/>
    <s v="Delayed"/>
    <x v="2"/>
    <x v="1"/>
  </r>
  <r>
    <x v="230"/>
    <x v="1"/>
    <x v="1"/>
    <n v="92595"/>
    <n v="15400"/>
    <d v="2025-10-06T00:00:00"/>
    <d v="2025-10-06T00:00:00"/>
    <n v="0"/>
    <s v="WhatsApp"/>
    <x v="0"/>
    <s v="Will clear dues soon"/>
    <n v="0"/>
    <s v="On Time"/>
    <x v="1"/>
    <x v="0"/>
  </r>
  <r>
    <x v="231"/>
    <x v="0"/>
    <x v="0"/>
    <n v="65539"/>
    <n v="7300"/>
    <d v="2025-10-15T00:00:00"/>
    <d v="2025-10-18T00:00:00"/>
    <n v="3"/>
    <s v="IVR"/>
    <x v="1"/>
    <s v="Lost my job, need more time"/>
    <n v="1"/>
    <s v="Delayed"/>
    <x v="0"/>
    <x v="1"/>
  </r>
  <r>
    <x v="232"/>
    <x v="0"/>
    <x v="0"/>
    <n v="27491"/>
    <n v="3400"/>
    <d v="2025-10-14T00:00:00"/>
    <d v="2025-10-29T00:00:00"/>
    <n v="15"/>
    <s v="WhatsApp"/>
    <x v="1"/>
    <s v="Dispute on EMI amount"/>
    <n v="1"/>
    <s v="Delayed"/>
    <x v="2"/>
    <x v="1"/>
  </r>
  <r>
    <x v="233"/>
    <x v="0"/>
    <x v="0"/>
    <n v="70192"/>
    <n v="5000"/>
    <d v="2025-10-28T00:00:00"/>
    <d v="2025-10-31T00:00:00"/>
    <n v="3"/>
    <s v="WhatsApp"/>
    <x v="1"/>
    <s v="Need settlement offer"/>
    <n v="1"/>
    <s v="Delayed"/>
    <x v="0"/>
    <x v="1"/>
  </r>
  <r>
    <x v="234"/>
    <x v="2"/>
    <x v="1"/>
    <n v="83888"/>
    <n v="6500"/>
    <d v="2025-10-11T00:00:00"/>
    <d v="2025-10-11T00:00:00"/>
    <n v="0"/>
    <s v="AI_Call"/>
    <x v="1"/>
    <s v="Will pay next week"/>
    <n v="0"/>
    <s v="On Time"/>
    <x v="1"/>
    <x v="1"/>
  </r>
  <r>
    <x v="235"/>
    <x v="1"/>
    <x v="0"/>
    <n v="93609"/>
    <n v="15600"/>
    <d v="2025-10-07T00:00:00"/>
    <d v="2025-10-10T00:00:00"/>
    <n v="3"/>
    <s v="IVR"/>
    <x v="1"/>
    <s v="Dispute on EMI amount"/>
    <n v="1"/>
    <s v="Delayed"/>
    <x v="0"/>
    <x v="1"/>
  </r>
  <r>
    <x v="236"/>
    <x v="0"/>
    <x v="1"/>
    <n v="29077"/>
    <n v="2600"/>
    <d v="2025-10-09T00:00:00"/>
    <d v="2025-10-09T00:00:00"/>
    <n v="0"/>
    <s v="AI_Call"/>
    <x v="1"/>
    <s v="No response"/>
    <n v="0"/>
    <s v="On Time"/>
    <x v="1"/>
    <x v="1"/>
  </r>
  <r>
    <x v="237"/>
    <x v="2"/>
    <x v="0"/>
    <n v="40953"/>
    <n v="2900"/>
    <d v="2025-10-26T00:00:00"/>
    <d v="2025-11-25T00:00:00"/>
    <n v="30"/>
    <s v="Agent"/>
    <x v="0"/>
    <s v="Will clear dues soon"/>
    <n v="1"/>
    <s v="Delayed"/>
    <x v="2"/>
    <x v="0"/>
  </r>
  <r>
    <x v="238"/>
    <x v="0"/>
    <x v="1"/>
    <n v="96919"/>
    <n v="8100"/>
    <d v="2025-10-16T00:00:00"/>
    <d v="2025-10-16T00:00:00"/>
    <n v="0"/>
    <s v="IVR"/>
    <x v="0"/>
    <s v="Cannot pay right now"/>
    <n v="0"/>
    <s v="On Time"/>
    <x v="1"/>
    <x v="0"/>
  </r>
  <r>
    <x v="239"/>
    <x v="2"/>
    <x v="1"/>
    <n v="87889"/>
    <n v="9800"/>
    <d v="2025-10-05T00:00:00"/>
    <d v="2025-10-05T00:00:00"/>
    <n v="0"/>
    <s v="AI_Call"/>
    <x v="0"/>
    <s v="Will pay tomorrow"/>
    <n v="0"/>
    <s v="On Time"/>
    <x v="1"/>
    <x v="0"/>
  </r>
  <r>
    <x v="240"/>
    <x v="1"/>
    <x v="1"/>
    <n v="43821"/>
    <n v="2400"/>
    <d v="2025-10-25T00:00:00"/>
    <d v="2025-11-01T00:00:00"/>
    <n v="7"/>
    <s v="WhatsApp"/>
    <x v="1"/>
    <s v="Will pay next week"/>
    <n v="1"/>
    <s v="Delayed"/>
    <x v="0"/>
    <x v="1"/>
  </r>
  <r>
    <x v="241"/>
    <x v="1"/>
    <x v="1"/>
    <n v="57567"/>
    <n v="2600"/>
    <d v="2025-10-20T00:00:00"/>
    <d v="2025-10-20T00:00:00"/>
    <n v="0"/>
    <s v="IVR"/>
    <x v="1"/>
    <s v="Need settlement offer"/>
    <n v="0"/>
    <s v="On Time"/>
    <x v="1"/>
    <x v="1"/>
  </r>
  <r>
    <x v="242"/>
    <x v="1"/>
    <x v="0"/>
    <n v="44860"/>
    <n v="6400"/>
    <d v="2025-10-29T00:00:00"/>
    <d v="2025-11-01T00:00:00"/>
    <n v="3"/>
    <s v="AI_Call"/>
    <x v="1"/>
    <s v="Paid already"/>
    <n v="1"/>
    <s v="Delayed"/>
    <x v="0"/>
    <x v="1"/>
  </r>
  <r>
    <x v="243"/>
    <x v="0"/>
    <x v="0"/>
    <n v="41195"/>
    <n v="4100"/>
    <d v="2025-10-10T00:00:00"/>
    <d v="2025-10-13T00:00:00"/>
    <n v="3"/>
    <s v="IVR"/>
    <x v="1"/>
    <s v="Dispute on EMI amount"/>
    <n v="1"/>
    <s v="Delayed"/>
    <x v="0"/>
    <x v="1"/>
  </r>
  <r>
    <x v="244"/>
    <x v="2"/>
    <x v="1"/>
    <n v="97475"/>
    <n v="5700"/>
    <d v="2025-10-18T00:00:00"/>
    <d v="2025-11-17T00:00:00"/>
    <n v="30"/>
    <s v="IVR"/>
    <x v="1"/>
    <s v="Please stop calling"/>
    <n v="1"/>
    <s v="Delayed"/>
    <x v="2"/>
    <x v="1"/>
  </r>
  <r>
    <x v="245"/>
    <x v="1"/>
    <x v="0"/>
    <n v="41427"/>
    <n v="3200"/>
    <d v="2025-10-03T00:00:00"/>
    <d v="2025-10-06T00:00:00"/>
    <n v="3"/>
    <s v="WhatsApp"/>
    <x v="1"/>
    <s v="Need settlement offer"/>
    <n v="1"/>
    <s v="Delayed"/>
    <x v="0"/>
    <x v="1"/>
  </r>
  <r>
    <x v="246"/>
    <x v="0"/>
    <x v="1"/>
    <n v="47083"/>
    <n v="4300"/>
    <d v="2025-10-13T00:00:00"/>
    <d v="2025-10-13T00:00:00"/>
    <n v="0"/>
    <s v="IVR"/>
    <x v="1"/>
    <s v="Will clear dues soon"/>
    <n v="0"/>
    <s v="On Time"/>
    <x v="1"/>
    <x v="1"/>
  </r>
  <r>
    <x v="247"/>
    <x v="1"/>
    <x v="0"/>
    <n v="77372"/>
    <n v="6000"/>
    <d v="2025-10-11T00:00:00"/>
    <d v="2025-10-11T00:00:00"/>
    <n v="0"/>
    <s v="Agent"/>
    <x v="1"/>
    <s v="Paid already"/>
    <n v="0"/>
    <s v="On Time"/>
    <x v="1"/>
    <x v="1"/>
  </r>
  <r>
    <x v="248"/>
    <x v="1"/>
    <x v="2"/>
    <n v="64064"/>
    <n v="2800"/>
    <d v="2025-10-17T00:00:00"/>
    <d v="2025-10-17T00:00:00"/>
    <n v="0"/>
    <s v="Agent"/>
    <x v="1"/>
    <s v="Will clear dues soon"/>
    <n v="0"/>
    <s v="On Time"/>
    <x v="1"/>
    <x v="1"/>
  </r>
  <r>
    <x v="249"/>
    <x v="1"/>
    <x v="0"/>
    <n v="27813"/>
    <n v="3500"/>
    <d v="2025-10-30T00:00:00"/>
    <d v="2025-10-30T00:00:00"/>
    <n v="0"/>
    <s v="AI_Call"/>
    <x v="1"/>
    <s v="Need settlement offer"/>
    <n v="0"/>
    <s v="On Time"/>
    <x v="1"/>
    <x v="1"/>
  </r>
  <r>
    <x v="250"/>
    <x v="0"/>
    <x v="1"/>
    <n v="51598"/>
    <n v="3000"/>
    <d v="2025-10-30T00:00:00"/>
    <d v="2025-10-30T00:00:00"/>
    <n v="0"/>
    <s v="AI_Call"/>
    <x v="1"/>
    <s v="Will clear dues soon"/>
    <n v="0"/>
    <s v="On Time"/>
    <x v="1"/>
    <x v="1"/>
  </r>
  <r>
    <x v="251"/>
    <x v="0"/>
    <x v="2"/>
    <n v="47082"/>
    <n v="5900"/>
    <d v="2025-10-22T00:00:00"/>
    <d v="2025-10-25T00:00:00"/>
    <n v="3"/>
    <s v="IVR"/>
    <x v="0"/>
    <s v="Will pay next week"/>
    <n v="1"/>
    <s v="Delayed"/>
    <x v="0"/>
    <x v="0"/>
  </r>
  <r>
    <x v="252"/>
    <x v="1"/>
    <x v="0"/>
    <n v="49241"/>
    <n v="4500"/>
    <d v="2025-10-13T00:00:00"/>
    <d v="2025-10-20T00:00:00"/>
    <n v="7"/>
    <s v="IVR"/>
    <x v="1"/>
    <s v="Cannot pay right now"/>
    <n v="1"/>
    <s v="Delayed"/>
    <x v="0"/>
    <x v="1"/>
  </r>
  <r>
    <x v="253"/>
    <x v="0"/>
    <x v="1"/>
    <n v="64569"/>
    <n v="9200"/>
    <d v="2025-10-06T00:00:00"/>
    <d v="2025-10-06T00:00:00"/>
    <n v="0"/>
    <s v="WhatsApp"/>
    <x v="1"/>
    <s v="Will pay tomorrow"/>
    <n v="0"/>
    <s v="On Time"/>
    <x v="1"/>
    <x v="1"/>
  </r>
  <r>
    <x v="254"/>
    <x v="2"/>
    <x v="1"/>
    <n v="31745"/>
    <n v="1900"/>
    <d v="2025-10-17T00:00:00"/>
    <d v="2025-11-01T00:00:00"/>
    <n v="15"/>
    <s v="IVR"/>
    <x v="0"/>
    <s v="Paid already"/>
    <n v="1"/>
    <s v="Delayed"/>
    <x v="2"/>
    <x v="0"/>
  </r>
  <r>
    <x v="255"/>
    <x v="0"/>
    <x v="0"/>
    <n v="46029"/>
    <n v="6600"/>
    <d v="2025-10-27T00:00:00"/>
    <d v="2025-12-26T00:00:00"/>
    <n v="60"/>
    <s v="IVR"/>
    <x v="1"/>
    <s v="Will clear dues soon"/>
    <n v="1"/>
    <s v="Delayed"/>
    <x v="2"/>
    <x v="1"/>
  </r>
  <r>
    <x v="256"/>
    <x v="1"/>
    <x v="0"/>
    <n v="33025"/>
    <n v="3000"/>
    <d v="2025-10-13T00:00:00"/>
    <d v="2025-10-28T00:00:00"/>
    <n v="15"/>
    <s v="Agent"/>
    <x v="0"/>
    <s v="Paid already"/>
    <n v="1"/>
    <s v="Delayed"/>
    <x v="2"/>
    <x v="0"/>
  </r>
  <r>
    <x v="257"/>
    <x v="0"/>
    <x v="0"/>
    <n v="34288"/>
    <n v="1600"/>
    <d v="2025-10-19T00:00:00"/>
    <d v="2025-10-22T00:00:00"/>
    <n v="3"/>
    <s v="IVR"/>
    <x v="1"/>
    <s v="No response"/>
    <n v="1"/>
    <s v="Delayed"/>
    <x v="0"/>
    <x v="1"/>
  </r>
  <r>
    <x v="258"/>
    <x v="0"/>
    <x v="0"/>
    <n v="26540"/>
    <n v="3300"/>
    <d v="2025-10-21T00:00:00"/>
    <d v="2025-10-21T00:00:00"/>
    <n v="0"/>
    <s v="IVR"/>
    <x v="0"/>
    <s v="Please stop calling"/>
    <n v="0"/>
    <s v="On Time"/>
    <x v="1"/>
    <x v="0"/>
  </r>
  <r>
    <x v="259"/>
    <x v="2"/>
    <x v="0"/>
    <n v="88878"/>
    <n v="12700"/>
    <d v="2025-10-19T00:00:00"/>
    <d v="2025-10-19T00:00:00"/>
    <n v="0"/>
    <s v="IVR"/>
    <x v="1"/>
    <s v="Need settlement offer"/>
    <n v="0"/>
    <s v="On Time"/>
    <x v="1"/>
    <x v="1"/>
  </r>
  <r>
    <x v="260"/>
    <x v="0"/>
    <x v="1"/>
    <n v="61846"/>
    <n v="4800"/>
    <d v="2025-10-10T00:00:00"/>
    <d v="2025-10-10T00:00:00"/>
    <n v="0"/>
    <s v="AI_Call"/>
    <x v="1"/>
    <s v="Will pay next week"/>
    <n v="0"/>
    <s v="On Time"/>
    <x v="1"/>
    <x v="1"/>
  </r>
  <r>
    <x v="261"/>
    <x v="1"/>
    <x v="1"/>
    <n v="95932"/>
    <n v="5600"/>
    <d v="2025-10-03T00:00:00"/>
    <d v="2025-10-03T00:00:00"/>
    <n v="0"/>
    <s v="AI_Call"/>
    <x v="1"/>
    <s v="Need settlement offer"/>
    <n v="0"/>
    <s v="On Time"/>
    <x v="1"/>
    <x v="1"/>
  </r>
  <r>
    <x v="262"/>
    <x v="2"/>
    <x v="1"/>
    <n v="37482"/>
    <n v="4200"/>
    <d v="2025-10-14T00:00:00"/>
    <d v="2025-11-13T00:00:00"/>
    <n v="30"/>
    <s v="WhatsApp"/>
    <x v="1"/>
    <s v="Will pay next week"/>
    <n v="1"/>
    <s v="Delayed"/>
    <x v="2"/>
    <x v="1"/>
  </r>
  <r>
    <x v="263"/>
    <x v="0"/>
    <x v="0"/>
    <n v="43411"/>
    <n v="4300"/>
    <d v="2025-10-26T00:00:00"/>
    <d v="2025-11-10T00:00:00"/>
    <n v="15"/>
    <s v="IVR"/>
    <x v="1"/>
    <s v="Lost my job, need more time"/>
    <n v="1"/>
    <s v="Delayed"/>
    <x v="2"/>
    <x v="1"/>
  </r>
  <r>
    <x v="264"/>
    <x v="1"/>
    <x v="1"/>
    <n v="70975"/>
    <n v="3900"/>
    <d v="2025-10-19T00:00:00"/>
    <d v="2025-10-19T00:00:00"/>
    <n v="0"/>
    <s v="AI_Call"/>
    <x v="1"/>
    <s v="Lost my job, need more time"/>
    <n v="0"/>
    <s v="On Time"/>
    <x v="1"/>
    <x v="1"/>
  </r>
  <r>
    <x v="265"/>
    <x v="1"/>
    <x v="0"/>
    <n v="80545"/>
    <n v="4000"/>
    <d v="2025-10-05T00:00:00"/>
    <d v="2025-10-05T00:00:00"/>
    <n v="0"/>
    <s v="IVR"/>
    <x v="0"/>
    <s v="Will pay next week"/>
    <n v="0"/>
    <s v="On Time"/>
    <x v="1"/>
    <x v="0"/>
  </r>
  <r>
    <x v="266"/>
    <x v="0"/>
    <x v="0"/>
    <n v="98797"/>
    <n v="4700"/>
    <d v="2025-10-29T00:00:00"/>
    <d v="2025-11-13T00:00:00"/>
    <n v="15"/>
    <s v="WhatsApp"/>
    <x v="1"/>
    <s v="Will clear dues soon"/>
    <n v="1"/>
    <s v="Delayed"/>
    <x v="2"/>
    <x v="1"/>
  </r>
  <r>
    <x v="267"/>
    <x v="1"/>
    <x v="0"/>
    <n v="72307"/>
    <n v="4800"/>
    <d v="2025-10-05T00:00:00"/>
    <d v="2025-10-05T00:00:00"/>
    <n v="0"/>
    <s v="AI_Call"/>
    <x v="1"/>
    <s v="Cannot pay right now"/>
    <n v="0"/>
    <s v="On Time"/>
    <x v="1"/>
    <x v="1"/>
  </r>
  <r>
    <x v="268"/>
    <x v="0"/>
    <x v="1"/>
    <n v="23093"/>
    <n v="1100"/>
    <d v="2025-10-20T00:00:00"/>
    <d v="2025-10-20T00:00:00"/>
    <n v="0"/>
    <s v="AI_Call"/>
    <x v="1"/>
    <s v="Cannot pay right now"/>
    <n v="0"/>
    <s v="On Time"/>
    <x v="1"/>
    <x v="1"/>
  </r>
  <r>
    <x v="269"/>
    <x v="0"/>
    <x v="0"/>
    <n v="97258"/>
    <n v="5700"/>
    <d v="2025-10-17T00:00:00"/>
    <d v="2025-11-01T00:00:00"/>
    <n v="15"/>
    <s v="WhatsApp"/>
    <x v="1"/>
    <s v="Need settlement offer"/>
    <n v="1"/>
    <s v="Delayed"/>
    <x v="2"/>
    <x v="1"/>
  </r>
  <r>
    <x v="270"/>
    <x v="1"/>
    <x v="1"/>
    <n v="42042"/>
    <n v="1900"/>
    <d v="2025-10-21T00:00:00"/>
    <d v="2025-10-21T00:00:00"/>
    <n v="0"/>
    <s v="AI_Call"/>
    <x v="1"/>
    <s v="Will pay next week"/>
    <n v="0"/>
    <s v="On Time"/>
    <x v="1"/>
    <x v="1"/>
  </r>
  <r>
    <x v="271"/>
    <x v="1"/>
    <x v="0"/>
    <n v="72930"/>
    <n v="3500"/>
    <d v="2025-10-10T00:00:00"/>
    <d v="2025-10-10T00:00:00"/>
    <n v="0"/>
    <s v="AI_Call"/>
    <x v="1"/>
    <s v="Paid already"/>
    <n v="0"/>
    <s v="On Time"/>
    <x v="1"/>
    <x v="1"/>
  </r>
  <r>
    <x v="272"/>
    <x v="1"/>
    <x v="1"/>
    <n v="64413"/>
    <n v="3800"/>
    <d v="2025-10-05T00:00:00"/>
    <d v="2025-10-05T00:00:00"/>
    <n v="0"/>
    <s v="IVR"/>
    <x v="1"/>
    <s v="Cannot pay right now"/>
    <n v="0"/>
    <s v="On Time"/>
    <x v="1"/>
    <x v="1"/>
  </r>
  <r>
    <x v="273"/>
    <x v="1"/>
    <x v="1"/>
    <n v="53756"/>
    <n v="4100"/>
    <d v="2025-10-04T00:00:00"/>
    <d v="2025-10-19T00:00:00"/>
    <n v="15"/>
    <s v="Agent"/>
    <x v="1"/>
    <s v="Will pay next week"/>
    <n v="1"/>
    <s v="Delayed"/>
    <x v="2"/>
    <x v="1"/>
  </r>
  <r>
    <x v="274"/>
    <x v="0"/>
    <x v="0"/>
    <n v="73268"/>
    <n v="9200"/>
    <d v="2025-10-06T00:00:00"/>
    <d v="2025-10-09T00:00:00"/>
    <n v="3"/>
    <s v="AI_Call"/>
    <x v="0"/>
    <s v="Will pay tomorrow"/>
    <n v="1"/>
    <s v="Delayed"/>
    <x v="0"/>
    <x v="0"/>
  </r>
  <r>
    <x v="275"/>
    <x v="0"/>
    <x v="1"/>
    <n v="59214"/>
    <n v="2800"/>
    <d v="2025-10-26T00:00:00"/>
    <d v="2025-10-26T00:00:00"/>
    <n v="0"/>
    <s v="AI_Call"/>
    <x v="1"/>
    <s v="No response"/>
    <n v="0"/>
    <s v="On Time"/>
    <x v="1"/>
    <x v="1"/>
  </r>
  <r>
    <x v="276"/>
    <x v="1"/>
    <x v="1"/>
    <n v="48602"/>
    <n v="2700"/>
    <d v="2025-10-04T00:00:00"/>
    <d v="2025-10-04T00:00:00"/>
    <n v="0"/>
    <s v="AI_Call"/>
    <x v="1"/>
    <s v="Lost my job, need more time"/>
    <n v="0"/>
    <s v="On Time"/>
    <x v="1"/>
    <x v="1"/>
  </r>
  <r>
    <x v="277"/>
    <x v="0"/>
    <x v="0"/>
    <n v="73331"/>
    <n v="5600"/>
    <d v="2025-10-30T00:00:00"/>
    <d v="2025-10-30T00:00:00"/>
    <n v="0"/>
    <s v="WhatsApp"/>
    <x v="1"/>
    <s v="Will pay tomorrow"/>
    <n v="0"/>
    <s v="On Time"/>
    <x v="1"/>
    <x v="1"/>
  </r>
  <r>
    <x v="278"/>
    <x v="1"/>
    <x v="0"/>
    <n v="68901"/>
    <n v="6900"/>
    <d v="2025-10-07T00:00:00"/>
    <d v="2025-10-10T00:00:00"/>
    <n v="3"/>
    <s v="WhatsApp"/>
    <x v="0"/>
    <s v="Will clear dues soon"/>
    <n v="1"/>
    <s v="Delayed"/>
    <x v="0"/>
    <x v="0"/>
  </r>
  <r>
    <x v="279"/>
    <x v="1"/>
    <x v="0"/>
    <n v="83416"/>
    <n v="6400"/>
    <d v="2025-10-07T00:00:00"/>
    <d v="2025-10-14T00:00:00"/>
    <n v="7"/>
    <s v="IVR"/>
    <x v="1"/>
    <s v="Dispute on EMI amount"/>
    <n v="1"/>
    <s v="Delayed"/>
    <x v="0"/>
    <x v="1"/>
  </r>
  <r>
    <x v="280"/>
    <x v="1"/>
    <x v="0"/>
    <n v="52196"/>
    <n v="3100"/>
    <d v="2025-10-18T00:00:00"/>
    <d v="2025-10-18T00:00:00"/>
    <n v="0"/>
    <s v="WhatsApp"/>
    <x v="1"/>
    <s v="Need settlement offer"/>
    <n v="0"/>
    <s v="On Time"/>
    <x v="1"/>
    <x v="1"/>
  </r>
  <r>
    <x v="281"/>
    <x v="0"/>
    <x v="0"/>
    <n v="25626"/>
    <n v="4300"/>
    <d v="2025-10-03T00:00:00"/>
    <d v="2025-11-02T00:00:00"/>
    <n v="30"/>
    <s v="IVR"/>
    <x v="1"/>
    <s v="Please stop calling"/>
    <n v="1"/>
    <s v="Delayed"/>
    <x v="2"/>
    <x v="1"/>
  </r>
  <r>
    <x v="282"/>
    <x v="0"/>
    <x v="1"/>
    <n v="27424"/>
    <n v="2500"/>
    <d v="2025-10-01T00:00:00"/>
    <d v="2025-10-01T00:00:00"/>
    <n v="0"/>
    <s v="Agent"/>
    <x v="1"/>
    <s v="Will clear dues soon"/>
    <n v="0"/>
    <s v="On Time"/>
    <x v="1"/>
    <x v="1"/>
  </r>
  <r>
    <x v="283"/>
    <x v="2"/>
    <x v="1"/>
    <n v="32857"/>
    <n v="1400"/>
    <d v="2025-10-24T00:00:00"/>
    <d v="2025-10-24T00:00:00"/>
    <n v="0"/>
    <s v="AI_Call"/>
    <x v="1"/>
    <s v="Will pay next week"/>
    <n v="0"/>
    <s v="On Time"/>
    <x v="1"/>
    <x v="1"/>
  </r>
  <r>
    <x v="284"/>
    <x v="0"/>
    <x v="1"/>
    <n v="39982"/>
    <n v="3100"/>
    <d v="2025-10-25T00:00:00"/>
    <d v="2025-10-25T00:00:00"/>
    <n v="0"/>
    <s v="AI_Call"/>
    <x v="0"/>
    <s v="No response"/>
    <n v="0"/>
    <s v="On Time"/>
    <x v="1"/>
    <x v="0"/>
  </r>
  <r>
    <x v="285"/>
    <x v="2"/>
    <x v="2"/>
    <n v="96961"/>
    <n v="8100"/>
    <d v="2025-10-04T00:00:00"/>
    <d v="2025-10-04T00:00:00"/>
    <n v="0"/>
    <s v="Agent"/>
    <x v="1"/>
    <s v="Need settlement offer"/>
    <n v="0"/>
    <s v="On Time"/>
    <x v="1"/>
    <x v="1"/>
  </r>
  <r>
    <x v="286"/>
    <x v="0"/>
    <x v="0"/>
    <n v="21980"/>
    <n v="3700"/>
    <d v="2025-10-06T00:00:00"/>
    <d v="2025-10-06T00:00:00"/>
    <n v="0"/>
    <s v="AI_Call"/>
    <x v="0"/>
    <s v="Dispute on EMI amount"/>
    <n v="0"/>
    <s v="On Time"/>
    <x v="1"/>
    <x v="0"/>
  </r>
  <r>
    <x v="287"/>
    <x v="0"/>
    <x v="1"/>
    <n v="68290"/>
    <n v="3300"/>
    <d v="2025-10-09T00:00:00"/>
    <d v="2025-10-09T00:00:00"/>
    <n v="0"/>
    <s v="IVR"/>
    <x v="1"/>
    <s v="Will pay tomorrow"/>
    <n v="0"/>
    <s v="On Time"/>
    <x v="1"/>
    <x v="1"/>
  </r>
  <r>
    <x v="288"/>
    <x v="0"/>
    <x v="1"/>
    <n v="46431"/>
    <n v="2700"/>
    <d v="2025-10-22T00:00:00"/>
    <d v="2025-10-22T00:00:00"/>
    <n v="0"/>
    <s v="WhatsApp"/>
    <x v="1"/>
    <s v="Will pay next week"/>
    <n v="0"/>
    <s v="On Time"/>
    <x v="1"/>
    <x v="1"/>
  </r>
  <r>
    <x v="289"/>
    <x v="0"/>
    <x v="2"/>
    <n v="46385"/>
    <n v="4200"/>
    <d v="2025-10-14T00:00:00"/>
    <d v="2025-10-17T00:00:00"/>
    <n v="3"/>
    <s v="IVR"/>
    <x v="1"/>
    <s v="Lost my job, need more time"/>
    <n v="1"/>
    <s v="Delayed"/>
    <x v="0"/>
    <x v="1"/>
  </r>
  <r>
    <x v="290"/>
    <x v="2"/>
    <x v="1"/>
    <n v="58158"/>
    <n v="8300"/>
    <d v="2025-10-28T00:00:00"/>
    <d v="2025-10-28T00:00:00"/>
    <n v="0"/>
    <s v="AI_Call"/>
    <x v="1"/>
    <s v="Lost my job, need more time"/>
    <n v="0"/>
    <s v="On Time"/>
    <x v="1"/>
    <x v="1"/>
  </r>
  <r>
    <x v="291"/>
    <x v="2"/>
    <x v="0"/>
    <n v="43019"/>
    <n v="2300"/>
    <d v="2025-10-12T00:00:00"/>
    <d v="2025-10-19T00:00:00"/>
    <n v="7"/>
    <s v="IVR"/>
    <x v="1"/>
    <s v="Lost my job, need more time"/>
    <n v="1"/>
    <s v="Delayed"/>
    <x v="0"/>
    <x v="1"/>
  </r>
  <r>
    <x v="292"/>
    <x v="1"/>
    <x v="0"/>
    <n v="38639"/>
    <n v="4300"/>
    <d v="2025-10-28T00:00:00"/>
    <d v="2025-12-12T00:00:00"/>
    <n v="45"/>
    <s v="AI_Call"/>
    <x v="1"/>
    <s v="Please stop calling"/>
    <n v="1"/>
    <s v="Delayed"/>
    <x v="2"/>
    <x v="1"/>
  </r>
  <r>
    <x v="293"/>
    <x v="0"/>
    <x v="0"/>
    <n v="41563"/>
    <n v="6900"/>
    <d v="2025-10-25T00:00:00"/>
    <d v="2025-10-25T00:00:00"/>
    <n v="0"/>
    <s v="WhatsApp"/>
    <x v="0"/>
    <s v="Will pay tomorrow"/>
    <n v="0"/>
    <s v="On Time"/>
    <x v="1"/>
    <x v="0"/>
  </r>
  <r>
    <x v="294"/>
    <x v="2"/>
    <x v="1"/>
    <n v="59341"/>
    <n v="2600"/>
    <d v="2025-10-20T00:00:00"/>
    <d v="2025-10-20T00:00:00"/>
    <n v="0"/>
    <s v="AI_Call"/>
    <x v="1"/>
    <s v="Will pay tomorrow"/>
    <n v="0"/>
    <s v="On Time"/>
    <x v="1"/>
    <x v="1"/>
  </r>
  <r>
    <x v="295"/>
    <x v="0"/>
    <x v="0"/>
    <n v="25776"/>
    <n v="1400"/>
    <d v="2025-10-24T00:00:00"/>
    <d v="2025-10-24T00:00:00"/>
    <n v="0"/>
    <s v="AI_Call"/>
    <x v="1"/>
    <s v="Need settlement offer"/>
    <n v="0"/>
    <s v="On Time"/>
    <x v="1"/>
    <x v="1"/>
  </r>
  <r>
    <x v="296"/>
    <x v="1"/>
    <x v="2"/>
    <n v="56444"/>
    <n v="8100"/>
    <d v="2025-10-25T00:00:00"/>
    <d v="2025-10-25T00:00:00"/>
    <n v="0"/>
    <s v="AI_Call"/>
    <x v="1"/>
    <s v="Lost my job, need more time"/>
    <n v="0"/>
    <s v="On Time"/>
    <x v="1"/>
    <x v="1"/>
  </r>
  <r>
    <x v="297"/>
    <x v="0"/>
    <x v="0"/>
    <n v="88916"/>
    <n v="6400"/>
    <d v="2025-10-04T00:00:00"/>
    <d v="2025-10-04T00:00:00"/>
    <n v="0"/>
    <s v="Agent"/>
    <x v="1"/>
    <s v="No response"/>
    <n v="0"/>
    <s v="On Time"/>
    <x v="1"/>
    <x v="1"/>
  </r>
  <r>
    <x v="298"/>
    <x v="0"/>
    <x v="0"/>
    <n v="28711"/>
    <n v="4100"/>
    <d v="2025-10-21T00:00:00"/>
    <d v="2025-10-28T00:00:00"/>
    <n v="7"/>
    <s v="AI_Call"/>
    <x v="1"/>
    <s v="Will clear dues soon"/>
    <n v="1"/>
    <s v="Delayed"/>
    <x v="0"/>
    <x v="1"/>
  </r>
  <r>
    <x v="299"/>
    <x v="2"/>
    <x v="2"/>
    <n v="94318"/>
    <n v="6700"/>
    <d v="2025-10-30T00:00:00"/>
    <d v="2025-11-02T00:00:00"/>
    <n v="3"/>
    <s v="Agent"/>
    <x v="1"/>
    <s v="No response"/>
    <n v="1"/>
    <s v="Delayed"/>
    <x v="0"/>
    <x v="1"/>
  </r>
  <r>
    <x v="300"/>
    <x v="2"/>
    <x v="0"/>
    <n v="50707"/>
    <n v="8500"/>
    <d v="2025-10-24T00:00:00"/>
    <d v="2025-10-24T00:00:00"/>
    <n v="0"/>
    <s v="Agent"/>
    <x v="0"/>
    <s v="Paid already"/>
    <n v="0"/>
    <s v="On Time"/>
    <x v="1"/>
    <x v="0"/>
  </r>
  <r>
    <x v="301"/>
    <x v="0"/>
    <x v="1"/>
    <n v="59110"/>
    <n v="3700"/>
    <d v="2025-10-12T00:00:00"/>
    <d v="2025-10-27T00:00:00"/>
    <n v="15"/>
    <s v="AI_Call"/>
    <x v="1"/>
    <s v="Please stop calling"/>
    <n v="1"/>
    <s v="Delayed"/>
    <x v="2"/>
    <x v="1"/>
  </r>
  <r>
    <x v="302"/>
    <x v="0"/>
    <x v="0"/>
    <n v="81788"/>
    <n v="10200"/>
    <d v="2025-10-10T00:00:00"/>
    <d v="2025-10-10T00:00:00"/>
    <n v="0"/>
    <s v="AI_Call"/>
    <x v="1"/>
    <s v="Will clear dues soon"/>
    <n v="0"/>
    <s v="On Time"/>
    <x v="1"/>
    <x v="1"/>
  </r>
  <r>
    <x v="303"/>
    <x v="0"/>
    <x v="0"/>
    <n v="58827"/>
    <n v="6500"/>
    <d v="2025-10-30T00:00:00"/>
    <d v="2025-11-14T00:00:00"/>
    <n v="15"/>
    <s v="WhatsApp"/>
    <x v="0"/>
    <s v="Will clear dues soon"/>
    <n v="1"/>
    <s v="Delayed"/>
    <x v="2"/>
    <x v="0"/>
  </r>
  <r>
    <x v="304"/>
    <x v="1"/>
    <x v="1"/>
    <n v="25655"/>
    <n v="1100"/>
    <d v="2025-10-22T00:00:00"/>
    <d v="2025-10-25T00:00:00"/>
    <n v="3"/>
    <s v="IVR"/>
    <x v="0"/>
    <s v="Will clear dues soon"/>
    <n v="1"/>
    <s v="Delayed"/>
    <x v="0"/>
    <x v="0"/>
  </r>
  <r>
    <x v="305"/>
    <x v="1"/>
    <x v="0"/>
    <n v="64859"/>
    <n v="5900"/>
    <d v="2025-10-28T00:00:00"/>
    <d v="2025-10-31T00:00:00"/>
    <n v="3"/>
    <s v="IVR"/>
    <x v="0"/>
    <s v="Lost my job, need more time"/>
    <n v="1"/>
    <s v="Delayed"/>
    <x v="0"/>
    <x v="0"/>
  </r>
  <r>
    <x v="306"/>
    <x v="0"/>
    <x v="2"/>
    <n v="73625"/>
    <n v="9200"/>
    <d v="2025-10-07T00:00:00"/>
    <d v="2025-10-07T00:00:00"/>
    <n v="0"/>
    <s v="WhatsApp"/>
    <x v="1"/>
    <s v="Need settlement offer"/>
    <n v="0"/>
    <s v="On Time"/>
    <x v="1"/>
    <x v="1"/>
  </r>
  <r>
    <x v="307"/>
    <x v="0"/>
    <x v="2"/>
    <n v="72098"/>
    <n v="4500"/>
    <d v="2025-10-03T00:00:00"/>
    <d v="2025-10-03T00:00:00"/>
    <n v="0"/>
    <s v="WhatsApp"/>
    <x v="1"/>
    <s v="Dispute on EMI amount"/>
    <n v="0"/>
    <s v="On Time"/>
    <x v="1"/>
    <x v="1"/>
  </r>
  <r>
    <x v="308"/>
    <x v="1"/>
    <x v="1"/>
    <n v="35251"/>
    <n v="1800"/>
    <d v="2025-10-23T00:00:00"/>
    <d v="2025-12-07T00:00:00"/>
    <n v="45"/>
    <s v="Agent"/>
    <x v="0"/>
    <s v="Will clear dues soon"/>
    <n v="1"/>
    <s v="Delayed"/>
    <x v="2"/>
    <x v="0"/>
  </r>
  <r>
    <x v="309"/>
    <x v="0"/>
    <x v="1"/>
    <n v="20526"/>
    <n v="2100"/>
    <d v="2025-10-28T00:00:00"/>
    <d v="2025-10-28T00:00:00"/>
    <n v="0"/>
    <s v="Agent"/>
    <x v="0"/>
    <s v="Cannot pay right now"/>
    <n v="0"/>
    <s v="On Time"/>
    <x v="1"/>
    <x v="0"/>
  </r>
  <r>
    <x v="310"/>
    <x v="0"/>
    <x v="2"/>
    <n v="88760"/>
    <n v="5900"/>
    <d v="2025-10-14T00:00:00"/>
    <d v="2025-11-28T00:00:00"/>
    <n v="45"/>
    <s v="AI_Call"/>
    <x v="1"/>
    <s v="Paid already"/>
    <n v="1"/>
    <s v="Delayed"/>
    <x v="2"/>
    <x v="1"/>
  </r>
  <r>
    <x v="311"/>
    <x v="2"/>
    <x v="0"/>
    <n v="67837"/>
    <n v="4000"/>
    <d v="2025-10-24T00:00:00"/>
    <d v="2025-10-24T00:00:00"/>
    <n v="0"/>
    <s v="IVR"/>
    <x v="1"/>
    <s v="Lost my job, need more time"/>
    <n v="0"/>
    <s v="On Time"/>
    <x v="1"/>
    <x v="1"/>
  </r>
  <r>
    <x v="312"/>
    <x v="2"/>
    <x v="1"/>
    <n v="31536"/>
    <n v="1600"/>
    <d v="2025-10-10T00:00:00"/>
    <d v="2025-10-10T00:00:00"/>
    <n v="0"/>
    <s v="WhatsApp"/>
    <x v="1"/>
    <s v="No response"/>
    <n v="0"/>
    <s v="On Time"/>
    <x v="1"/>
    <x v="1"/>
  </r>
  <r>
    <x v="313"/>
    <x v="1"/>
    <x v="2"/>
    <n v="48541"/>
    <n v="2200"/>
    <d v="2025-10-16T00:00:00"/>
    <d v="2025-10-16T00:00:00"/>
    <n v="0"/>
    <s v="WhatsApp"/>
    <x v="1"/>
    <s v="Lost my job, need more time"/>
    <n v="0"/>
    <s v="On Time"/>
    <x v="1"/>
    <x v="1"/>
  </r>
  <r>
    <x v="314"/>
    <x v="1"/>
    <x v="0"/>
    <n v="99083"/>
    <n v="6600"/>
    <d v="2025-10-16T00:00:00"/>
    <d v="2025-10-16T00:00:00"/>
    <n v="0"/>
    <s v="WhatsApp"/>
    <x v="1"/>
    <s v="Cannot pay right now"/>
    <n v="0"/>
    <s v="On Time"/>
    <x v="1"/>
    <x v="1"/>
  </r>
  <r>
    <x v="315"/>
    <x v="0"/>
    <x v="0"/>
    <n v="71027"/>
    <n v="6500"/>
    <d v="2025-10-22T00:00:00"/>
    <d v="2025-11-21T00:00:00"/>
    <n v="30"/>
    <s v="WhatsApp"/>
    <x v="1"/>
    <s v="Please stop calling"/>
    <n v="1"/>
    <s v="Delayed"/>
    <x v="2"/>
    <x v="1"/>
  </r>
  <r>
    <x v="316"/>
    <x v="0"/>
    <x v="0"/>
    <n v="54531"/>
    <n v="2400"/>
    <d v="2025-10-10T00:00:00"/>
    <d v="2025-10-10T00:00:00"/>
    <n v="0"/>
    <s v="WhatsApp"/>
    <x v="1"/>
    <s v="Dispute on EMI amount"/>
    <n v="0"/>
    <s v="On Time"/>
    <x v="1"/>
    <x v="1"/>
  </r>
  <r>
    <x v="317"/>
    <x v="2"/>
    <x v="1"/>
    <n v="28712"/>
    <n v="1600"/>
    <d v="2025-10-25T00:00:00"/>
    <d v="2025-10-25T00:00:00"/>
    <n v="0"/>
    <s v="Agent"/>
    <x v="1"/>
    <s v="Please stop calling"/>
    <n v="0"/>
    <s v="On Time"/>
    <x v="1"/>
    <x v="1"/>
  </r>
  <r>
    <x v="318"/>
    <x v="2"/>
    <x v="1"/>
    <n v="85455"/>
    <n v="10700"/>
    <d v="2025-10-13T00:00:00"/>
    <d v="2025-10-13T00:00:00"/>
    <n v="0"/>
    <s v="AI_Call"/>
    <x v="1"/>
    <s v="Will pay next week"/>
    <n v="0"/>
    <s v="On Time"/>
    <x v="1"/>
    <x v="1"/>
  </r>
  <r>
    <x v="319"/>
    <x v="0"/>
    <x v="1"/>
    <n v="94744"/>
    <n v="6300"/>
    <d v="2025-10-06T00:00:00"/>
    <d v="2025-10-06T00:00:00"/>
    <n v="0"/>
    <s v="WhatsApp"/>
    <x v="1"/>
    <s v="Dispute on EMI amount"/>
    <n v="0"/>
    <s v="On Time"/>
    <x v="1"/>
    <x v="1"/>
  </r>
  <r>
    <x v="320"/>
    <x v="0"/>
    <x v="0"/>
    <n v="25109"/>
    <n v="1300"/>
    <d v="2025-10-12T00:00:00"/>
    <d v="2025-10-12T00:00:00"/>
    <n v="0"/>
    <s v="WhatsApp"/>
    <x v="0"/>
    <s v="Dispute on EMI amount"/>
    <n v="0"/>
    <s v="On Time"/>
    <x v="1"/>
    <x v="0"/>
  </r>
  <r>
    <x v="321"/>
    <x v="1"/>
    <x v="1"/>
    <n v="69268"/>
    <n v="6300"/>
    <d v="2025-10-09T00:00:00"/>
    <d v="2025-10-09T00:00:00"/>
    <n v="0"/>
    <s v="IVR"/>
    <x v="1"/>
    <s v="Paid already"/>
    <n v="0"/>
    <s v="On Time"/>
    <x v="1"/>
    <x v="1"/>
  </r>
  <r>
    <x v="322"/>
    <x v="0"/>
    <x v="1"/>
    <n v="74615"/>
    <n v="9300"/>
    <d v="2025-10-13T00:00:00"/>
    <d v="2025-10-28T00:00:00"/>
    <n v="15"/>
    <s v="WhatsApp"/>
    <x v="1"/>
    <s v="Will pay next week"/>
    <n v="1"/>
    <s v="Delayed"/>
    <x v="2"/>
    <x v="1"/>
  </r>
  <r>
    <x v="323"/>
    <x v="0"/>
    <x v="1"/>
    <n v="49759"/>
    <n v="2400"/>
    <d v="2025-10-04T00:00:00"/>
    <d v="2025-10-04T00:00:00"/>
    <n v="0"/>
    <s v="Agent"/>
    <x v="1"/>
    <s v="Please stop calling"/>
    <n v="0"/>
    <s v="On Time"/>
    <x v="1"/>
    <x v="1"/>
  </r>
  <r>
    <x v="324"/>
    <x v="1"/>
    <x v="0"/>
    <n v="80112"/>
    <n v="6700"/>
    <d v="2025-10-24T00:00:00"/>
    <d v="2025-10-24T00:00:00"/>
    <n v="0"/>
    <s v="IVR"/>
    <x v="0"/>
    <s v="Will pay tomorrow"/>
    <n v="0"/>
    <s v="On Time"/>
    <x v="1"/>
    <x v="0"/>
  </r>
  <r>
    <x v="325"/>
    <x v="1"/>
    <x v="2"/>
    <n v="46589"/>
    <n v="2500"/>
    <d v="2025-10-11T00:00:00"/>
    <d v="2025-10-11T00:00:00"/>
    <n v="0"/>
    <s v="IVR"/>
    <x v="1"/>
    <s v="Need settlement offer"/>
    <n v="0"/>
    <s v="On Time"/>
    <x v="1"/>
    <x v="1"/>
  </r>
  <r>
    <x v="326"/>
    <x v="0"/>
    <x v="1"/>
    <n v="50015"/>
    <n v="3600"/>
    <d v="2025-10-20T00:00:00"/>
    <d v="2025-10-20T00:00:00"/>
    <n v="0"/>
    <s v="IVR"/>
    <x v="1"/>
    <s v="Lost my job, need more time"/>
    <n v="0"/>
    <s v="On Time"/>
    <x v="1"/>
    <x v="1"/>
  </r>
  <r>
    <x v="327"/>
    <x v="0"/>
    <x v="1"/>
    <n v="49009"/>
    <n v="2500"/>
    <d v="2025-10-18T00:00:00"/>
    <d v="2025-12-17T00:00:00"/>
    <n v="60"/>
    <s v="WhatsApp"/>
    <x v="0"/>
    <s v="No response"/>
    <n v="1"/>
    <s v="Delayed"/>
    <x v="2"/>
    <x v="0"/>
  </r>
  <r>
    <x v="328"/>
    <x v="0"/>
    <x v="0"/>
    <n v="82046"/>
    <n v="10300"/>
    <d v="2025-10-26T00:00:00"/>
    <d v="2025-10-26T00:00:00"/>
    <n v="0"/>
    <s v="AI_Call"/>
    <x v="1"/>
    <s v="Please stop calling"/>
    <n v="0"/>
    <s v="On Time"/>
    <x v="1"/>
    <x v="1"/>
  </r>
  <r>
    <x v="329"/>
    <x v="0"/>
    <x v="1"/>
    <n v="46143"/>
    <n v="6600"/>
    <d v="2025-10-11T00:00:00"/>
    <d v="2025-10-11T00:00:00"/>
    <n v="0"/>
    <s v="AI_Call"/>
    <x v="1"/>
    <s v="Paid already"/>
    <n v="0"/>
    <s v="On Time"/>
    <x v="1"/>
    <x v="1"/>
  </r>
  <r>
    <x v="330"/>
    <x v="0"/>
    <x v="1"/>
    <n v="26154"/>
    <n v="3700"/>
    <d v="2025-10-25T00:00:00"/>
    <d v="2025-10-28T00:00:00"/>
    <n v="3"/>
    <s v="AI_Call"/>
    <x v="1"/>
    <s v="No response"/>
    <n v="1"/>
    <s v="Delayed"/>
    <x v="0"/>
    <x v="1"/>
  </r>
  <r>
    <x v="331"/>
    <x v="1"/>
    <x v="1"/>
    <n v="41804"/>
    <n v="5200"/>
    <d v="2025-10-21T00:00:00"/>
    <d v="2025-10-21T00:00:00"/>
    <n v="0"/>
    <s v="WhatsApp"/>
    <x v="0"/>
    <s v="No response"/>
    <n v="0"/>
    <s v="On Time"/>
    <x v="1"/>
    <x v="0"/>
  </r>
  <r>
    <x v="332"/>
    <x v="2"/>
    <x v="1"/>
    <n v="61688"/>
    <n v="2700"/>
    <d v="2025-10-04T00:00:00"/>
    <d v="2025-10-04T00:00:00"/>
    <n v="0"/>
    <s v="IVR"/>
    <x v="1"/>
    <s v="Cannot pay right now"/>
    <n v="0"/>
    <s v="On Time"/>
    <x v="1"/>
    <x v="1"/>
  </r>
  <r>
    <x v="333"/>
    <x v="2"/>
    <x v="1"/>
    <n v="84288"/>
    <n v="4400"/>
    <d v="2025-10-18T00:00:00"/>
    <d v="2025-12-02T00:00:00"/>
    <n v="45"/>
    <s v="IVR"/>
    <x v="1"/>
    <s v="Will pay tomorrow"/>
    <n v="1"/>
    <s v="Delayed"/>
    <x v="2"/>
    <x v="1"/>
  </r>
  <r>
    <x v="334"/>
    <x v="2"/>
    <x v="1"/>
    <n v="71195"/>
    <n v="3100"/>
    <d v="2025-10-01T00:00:00"/>
    <d v="2025-10-08T00:00:00"/>
    <n v="7"/>
    <s v="Agent"/>
    <x v="1"/>
    <s v="Need settlement offer"/>
    <n v="1"/>
    <s v="Delayed"/>
    <x v="0"/>
    <x v="1"/>
  </r>
  <r>
    <x v="335"/>
    <x v="2"/>
    <x v="1"/>
    <n v="40581"/>
    <n v="2700"/>
    <d v="2025-10-27T00:00:00"/>
    <d v="2025-12-26T00:00:00"/>
    <n v="60"/>
    <s v="IVR"/>
    <x v="1"/>
    <s v="Please stop calling"/>
    <n v="1"/>
    <s v="Delayed"/>
    <x v="2"/>
    <x v="1"/>
  </r>
  <r>
    <x v="336"/>
    <x v="1"/>
    <x v="2"/>
    <n v="72648"/>
    <n v="10400"/>
    <d v="2025-10-07T00:00:00"/>
    <d v="2025-10-07T00:00:00"/>
    <n v="0"/>
    <s v="IVR"/>
    <x v="1"/>
    <s v="Will pay next week"/>
    <n v="0"/>
    <s v="On Time"/>
    <x v="1"/>
    <x v="1"/>
  </r>
  <r>
    <x v="337"/>
    <x v="1"/>
    <x v="1"/>
    <n v="50087"/>
    <n v="8300"/>
    <d v="2025-10-06T00:00:00"/>
    <d v="2025-10-06T00:00:00"/>
    <n v="0"/>
    <s v="AI_Call"/>
    <x v="1"/>
    <s v="Lost my job, need more time"/>
    <n v="0"/>
    <s v="On Time"/>
    <x v="1"/>
    <x v="1"/>
  </r>
  <r>
    <x v="338"/>
    <x v="0"/>
    <x v="0"/>
    <n v="69930"/>
    <n v="7800"/>
    <d v="2025-10-15T00:00:00"/>
    <d v="2025-10-15T00:00:00"/>
    <n v="0"/>
    <s v="AI_Call"/>
    <x v="1"/>
    <s v="Lost my job, need more time"/>
    <n v="0"/>
    <s v="On Time"/>
    <x v="1"/>
    <x v="1"/>
  </r>
  <r>
    <x v="339"/>
    <x v="2"/>
    <x v="0"/>
    <n v="52981"/>
    <n v="2800"/>
    <d v="2025-10-18T00:00:00"/>
    <d v="2025-10-18T00:00:00"/>
    <n v="0"/>
    <s v="IVR"/>
    <x v="1"/>
    <s v="Paid already"/>
    <n v="0"/>
    <s v="On Time"/>
    <x v="1"/>
    <x v="1"/>
  </r>
  <r>
    <x v="340"/>
    <x v="0"/>
    <x v="1"/>
    <n v="89298"/>
    <n v="14900"/>
    <d v="2025-10-24T00:00:00"/>
    <d v="2025-11-08T00:00:00"/>
    <n v="15"/>
    <s v="IVR"/>
    <x v="0"/>
    <s v="Dispute on EMI amount"/>
    <n v="1"/>
    <s v="Delayed"/>
    <x v="2"/>
    <x v="0"/>
  </r>
  <r>
    <x v="341"/>
    <x v="0"/>
    <x v="0"/>
    <n v="66167"/>
    <n v="3500"/>
    <d v="2025-10-11T00:00:00"/>
    <d v="2025-10-11T00:00:00"/>
    <n v="0"/>
    <s v="IVR"/>
    <x v="1"/>
    <s v="No response"/>
    <n v="0"/>
    <s v="On Time"/>
    <x v="1"/>
    <x v="1"/>
  </r>
  <r>
    <x v="342"/>
    <x v="2"/>
    <x v="1"/>
    <n v="95304"/>
    <n v="4500"/>
    <d v="2025-10-20T00:00:00"/>
    <d v="2025-11-04T00:00:00"/>
    <n v="15"/>
    <s v="Agent"/>
    <x v="1"/>
    <s v="Cannot pay right now"/>
    <n v="1"/>
    <s v="Delayed"/>
    <x v="2"/>
    <x v="1"/>
  </r>
  <r>
    <x v="343"/>
    <x v="0"/>
    <x v="2"/>
    <n v="63408"/>
    <n v="3300"/>
    <d v="2025-10-24T00:00:00"/>
    <d v="2025-10-31T00:00:00"/>
    <n v="7"/>
    <s v="IVR"/>
    <x v="1"/>
    <s v="Cannot pay right now"/>
    <n v="1"/>
    <s v="Delayed"/>
    <x v="0"/>
    <x v="1"/>
  </r>
  <r>
    <x v="344"/>
    <x v="0"/>
    <x v="1"/>
    <n v="59499"/>
    <n v="7400"/>
    <d v="2025-10-15T00:00:00"/>
    <d v="2025-10-15T00:00:00"/>
    <n v="0"/>
    <s v="Agent"/>
    <x v="0"/>
    <s v="Will pay next week"/>
    <n v="0"/>
    <s v="On Time"/>
    <x v="1"/>
    <x v="0"/>
  </r>
  <r>
    <x v="345"/>
    <x v="0"/>
    <x v="1"/>
    <n v="72269"/>
    <n v="9000"/>
    <d v="2025-10-16T00:00:00"/>
    <d v="2025-10-16T00:00:00"/>
    <n v="0"/>
    <s v="IVR"/>
    <x v="1"/>
    <s v="Cannot pay right now"/>
    <n v="0"/>
    <s v="On Time"/>
    <x v="1"/>
    <x v="1"/>
  </r>
  <r>
    <x v="346"/>
    <x v="0"/>
    <x v="1"/>
    <n v="58559"/>
    <n v="4200"/>
    <d v="2025-10-07T00:00:00"/>
    <d v="2025-10-10T00:00:00"/>
    <n v="3"/>
    <s v="Agent"/>
    <x v="1"/>
    <s v="No response"/>
    <n v="1"/>
    <s v="Delayed"/>
    <x v="0"/>
    <x v="1"/>
  </r>
  <r>
    <x v="347"/>
    <x v="2"/>
    <x v="2"/>
    <n v="94319"/>
    <n v="8600"/>
    <d v="2025-10-21T00:00:00"/>
    <d v="2025-10-21T00:00:00"/>
    <n v="0"/>
    <s v="AI_Call"/>
    <x v="0"/>
    <s v="Will clear dues soon"/>
    <n v="0"/>
    <s v="On Time"/>
    <x v="1"/>
    <x v="0"/>
  </r>
  <r>
    <x v="348"/>
    <x v="0"/>
    <x v="0"/>
    <n v="68787"/>
    <n v="3800"/>
    <d v="2025-10-10T00:00:00"/>
    <d v="2025-10-25T00:00:00"/>
    <n v="15"/>
    <s v="IVR"/>
    <x v="0"/>
    <s v="Dispute on EMI amount"/>
    <n v="1"/>
    <s v="Delayed"/>
    <x v="2"/>
    <x v="0"/>
  </r>
  <r>
    <x v="349"/>
    <x v="0"/>
    <x v="0"/>
    <n v="55488"/>
    <n v="7900"/>
    <d v="2025-10-26T00:00:00"/>
    <d v="2025-10-26T00:00:00"/>
    <n v="0"/>
    <s v="Agent"/>
    <x v="0"/>
    <s v="Will clear dues soon"/>
    <n v="0"/>
    <s v="On Time"/>
    <x v="1"/>
    <x v="0"/>
  </r>
  <r>
    <x v="350"/>
    <x v="0"/>
    <x v="1"/>
    <n v="94441"/>
    <n v="7300"/>
    <d v="2025-10-12T00:00:00"/>
    <d v="2025-10-12T00:00:00"/>
    <n v="0"/>
    <s v="WhatsApp"/>
    <x v="1"/>
    <s v="Dispute on EMI amount"/>
    <n v="0"/>
    <s v="On Time"/>
    <x v="1"/>
    <x v="1"/>
  </r>
  <r>
    <x v="351"/>
    <x v="1"/>
    <x v="0"/>
    <n v="94663"/>
    <n v="13500"/>
    <d v="2025-10-24T00:00:00"/>
    <d v="2025-10-27T00:00:00"/>
    <n v="3"/>
    <s v="Agent"/>
    <x v="0"/>
    <s v="Will pay tomorrow"/>
    <n v="1"/>
    <s v="Delayed"/>
    <x v="0"/>
    <x v="0"/>
  </r>
  <r>
    <x v="352"/>
    <x v="0"/>
    <x v="1"/>
    <n v="42431"/>
    <n v="4700"/>
    <d v="2025-10-14T00:00:00"/>
    <d v="2025-12-13T00:00:00"/>
    <n v="60"/>
    <s v="AI_Call"/>
    <x v="0"/>
    <s v="Will pay tomorrow"/>
    <n v="1"/>
    <s v="Delayed"/>
    <x v="2"/>
    <x v="0"/>
  </r>
  <r>
    <x v="353"/>
    <x v="2"/>
    <x v="0"/>
    <n v="81681"/>
    <n v="4100"/>
    <d v="2025-10-25T00:00:00"/>
    <d v="2025-10-25T00:00:00"/>
    <n v="0"/>
    <s v="WhatsApp"/>
    <x v="1"/>
    <s v="Will pay next week"/>
    <n v="0"/>
    <s v="On Time"/>
    <x v="1"/>
    <x v="1"/>
  </r>
  <r>
    <x v="354"/>
    <x v="2"/>
    <x v="1"/>
    <n v="83483"/>
    <n v="9300"/>
    <d v="2025-10-05T00:00:00"/>
    <d v="2025-10-20T00:00:00"/>
    <n v="15"/>
    <s v="AI_Call"/>
    <x v="1"/>
    <s v="Will clear dues soon"/>
    <n v="1"/>
    <s v="Delayed"/>
    <x v="2"/>
    <x v="1"/>
  </r>
  <r>
    <x v="355"/>
    <x v="0"/>
    <x v="1"/>
    <n v="69153"/>
    <n v="3800"/>
    <d v="2025-10-26T00:00:00"/>
    <d v="2025-10-26T00:00:00"/>
    <n v="0"/>
    <s v="Agent"/>
    <x v="0"/>
    <s v="Will pay tomorrow"/>
    <n v="0"/>
    <s v="On Time"/>
    <x v="1"/>
    <x v="0"/>
  </r>
  <r>
    <x v="356"/>
    <x v="2"/>
    <x v="1"/>
    <n v="26368"/>
    <n v="1600"/>
    <d v="2025-10-21T00:00:00"/>
    <d v="2025-10-28T00:00:00"/>
    <n v="7"/>
    <s v="WhatsApp"/>
    <x v="0"/>
    <s v="Will pay tomorrow"/>
    <n v="1"/>
    <s v="Delayed"/>
    <x v="0"/>
    <x v="0"/>
  </r>
  <r>
    <x v="357"/>
    <x v="0"/>
    <x v="1"/>
    <n v="47424"/>
    <n v="2600"/>
    <d v="2025-10-18T00:00:00"/>
    <d v="2025-10-25T00:00:00"/>
    <n v="7"/>
    <s v="IVR"/>
    <x v="0"/>
    <s v="Will pay tomorrow"/>
    <n v="1"/>
    <s v="Delayed"/>
    <x v="0"/>
    <x v="0"/>
  </r>
  <r>
    <x v="358"/>
    <x v="1"/>
    <x v="0"/>
    <n v="65004"/>
    <n v="3400"/>
    <d v="2025-10-05T00:00:00"/>
    <d v="2025-10-05T00:00:00"/>
    <n v="0"/>
    <s v="AI_Call"/>
    <x v="0"/>
    <s v="Lost my job, need more time"/>
    <n v="0"/>
    <s v="On Time"/>
    <x v="1"/>
    <x v="0"/>
  </r>
  <r>
    <x v="359"/>
    <x v="0"/>
    <x v="1"/>
    <n v="76985"/>
    <n v="3300"/>
    <d v="2025-10-03T00:00:00"/>
    <d v="2025-10-03T00:00:00"/>
    <n v="0"/>
    <s v="AI_Call"/>
    <x v="1"/>
    <s v="Will pay next week"/>
    <n v="0"/>
    <s v="On Time"/>
    <x v="1"/>
    <x v="1"/>
  </r>
  <r>
    <x v="360"/>
    <x v="0"/>
    <x v="0"/>
    <n v="70069"/>
    <n v="6400"/>
    <d v="2025-10-23T00:00:00"/>
    <d v="2025-10-30T00:00:00"/>
    <n v="7"/>
    <s v="IVR"/>
    <x v="0"/>
    <s v="Paid already"/>
    <n v="1"/>
    <s v="Delayed"/>
    <x v="0"/>
    <x v="0"/>
  </r>
  <r>
    <x v="361"/>
    <x v="0"/>
    <x v="1"/>
    <n v="72326"/>
    <n v="4500"/>
    <d v="2025-10-26T00:00:00"/>
    <d v="2025-10-26T00:00:00"/>
    <n v="0"/>
    <s v="WhatsApp"/>
    <x v="0"/>
    <s v="Paid already"/>
    <n v="0"/>
    <s v="On Time"/>
    <x v="1"/>
    <x v="0"/>
  </r>
  <r>
    <x v="362"/>
    <x v="0"/>
    <x v="0"/>
    <n v="43398"/>
    <n v="6200"/>
    <d v="2025-10-05T00:00:00"/>
    <d v="2025-10-12T00:00:00"/>
    <n v="7"/>
    <s v="WhatsApp"/>
    <x v="1"/>
    <s v="Need settlement offer"/>
    <n v="1"/>
    <s v="Delayed"/>
    <x v="0"/>
    <x v="1"/>
  </r>
  <r>
    <x v="363"/>
    <x v="0"/>
    <x v="1"/>
    <n v="70861"/>
    <n v="7100"/>
    <d v="2025-10-24T00:00:00"/>
    <d v="2025-10-24T00:00:00"/>
    <n v="0"/>
    <s v="IVR"/>
    <x v="1"/>
    <s v="No response"/>
    <n v="0"/>
    <s v="On Time"/>
    <x v="1"/>
    <x v="1"/>
  </r>
  <r>
    <x v="364"/>
    <x v="1"/>
    <x v="1"/>
    <n v="95897"/>
    <n v="13700"/>
    <d v="2025-10-17T00:00:00"/>
    <d v="2025-11-01T00:00:00"/>
    <n v="15"/>
    <s v="IVR"/>
    <x v="1"/>
    <s v="Will pay tomorrow"/>
    <n v="1"/>
    <s v="Delayed"/>
    <x v="2"/>
    <x v="1"/>
  </r>
  <r>
    <x v="365"/>
    <x v="0"/>
    <x v="0"/>
    <n v="88577"/>
    <n v="5900"/>
    <d v="2025-10-19T00:00:00"/>
    <d v="2025-10-26T00:00:00"/>
    <n v="7"/>
    <s v="Agent"/>
    <x v="1"/>
    <s v="Will pay next week"/>
    <n v="1"/>
    <s v="Delayed"/>
    <x v="0"/>
    <x v="1"/>
  </r>
  <r>
    <x v="366"/>
    <x v="1"/>
    <x v="1"/>
    <n v="85641"/>
    <n v="12200"/>
    <d v="2025-10-19T00:00:00"/>
    <d v="2025-11-18T00:00:00"/>
    <n v="30"/>
    <s v="WhatsApp"/>
    <x v="1"/>
    <s v="Cannot pay right now"/>
    <n v="1"/>
    <s v="Delayed"/>
    <x v="2"/>
    <x v="1"/>
  </r>
  <r>
    <x v="367"/>
    <x v="1"/>
    <x v="1"/>
    <n v="29078"/>
    <n v="1800"/>
    <d v="2025-10-25T00:00:00"/>
    <d v="2025-10-25T00:00:00"/>
    <n v="0"/>
    <s v="AI_Call"/>
    <x v="1"/>
    <s v="Will clear dues soon"/>
    <n v="0"/>
    <s v="On Time"/>
    <x v="1"/>
    <x v="1"/>
  </r>
  <r>
    <x v="368"/>
    <x v="2"/>
    <x v="0"/>
    <n v="45003"/>
    <n v="2000"/>
    <d v="2025-10-21T00:00:00"/>
    <d v="2025-10-24T00:00:00"/>
    <n v="3"/>
    <s v="WhatsApp"/>
    <x v="1"/>
    <s v="Lost my job, need more time"/>
    <n v="1"/>
    <s v="Delayed"/>
    <x v="0"/>
    <x v="1"/>
  </r>
  <r>
    <x v="369"/>
    <x v="2"/>
    <x v="2"/>
    <n v="82768"/>
    <n v="4100"/>
    <d v="2025-10-12T00:00:00"/>
    <d v="2025-10-15T00:00:00"/>
    <n v="3"/>
    <s v="WhatsApp"/>
    <x v="1"/>
    <s v="Will clear dues soon"/>
    <n v="1"/>
    <s v="Delayed"/>
    <x v="0"/>
    <x v="1"/>
  </r>
  <r>
    <x v="370"/>
    <x v="2"/>
    <x v="1"/>
    <n v="71047"/>
    <n v="5100"/>
    <d v="2025-10-25T00:00:00"/>
    <d v="2025-10-25T00:00:00"/>
    <n v="0"/>
    <s v="IVR"/>
    <x v="1"/>
    <s v="Will clear dues soon"/>
    <n v="0"/>
    <s v="On Time"/>
    <x v="1"/>
    <x v="1"/>
  </r>
  <r>
    <x v="371"/>
    <x v="2"/>
    <x v="1"/>
    <n v="91626"/>
    <n v="6500"/>
    <d v="2025-10-29T00:00:00"/>
    <d v="2025-10-29T00:00:00"/>
    <n v="0"/>
    <s v="IVR"/>
    <x v="0"/>
    <s v="Lost my job, need more time"/>
    <n v="0"/>
    <s v="On Time"/>
    <x v="1"/>
    <x v="0"/>
  </r>
  <r>
    <x v="372"/>
    <x v="2"/>
    <x v="0"/>
    <n v="77660"/>
    <n v="9700"/>
    <d v="2025-10-09T00:00:00"/>
    <d v="2025-10-09T00:00:00"/>
    <n v="0"/>
    <s v="AI_Call"/>
    <x v="1"/>
    <s v="Will clear dues soon"/>
    <n v="0"/>
    <s v="On Time"/>
    <x v="1"/>
    <x v="1"/>
  </r>
  <r>
    <x v="373"/>
    <x v="0"/>
    <x v="1"/>
    <n v="69786"/>
    <n v="5000"/>
    <d v="2025-10-01T00:00:00"/>
    <d v="2025-10-08T00:00:00"/>
    <n v="7"/>
    <s v="Agent"/>
    <x v="0"/>
    <s v="Will pay tomorrow"/>
    <n v="1"/>
    <s v="Delayed"/>
    <x v="0"/>
    <x v="0"/>
  </r>
  <r>
    <x v="374"/>
    <x v="2"/>
    <x v="1"/>
    <n v="21925"/>
    <n v="1200"/>
    <d v="2025-10-18T00:00:00"/>
    <d v="2025-10-18T00:00:00"/>
    <n v="0"/>
    <s v="AI_Call"/>
    <x v="1"/>
    <s v="Lost my job, need more time"/>
    <n v="0"/>
    <s v="On Time"/>
    <x v="1"/>
    <x v="1"/>
  </r>
  <r>
    <x v="375"/>
    <x v="0"/>
    <x v="1"/>
    <n v="46015"/>
    <n v="3800"/>
    <d v="2025-10-21T00:00:00"/>
    <d v="2025-10-21T00:00:00"/>
    <n v="0"/>
    <s v="Agent"/>
    <x v="1"/>
    <s v="Paid already"/>
    <n v="0"/>
    <s v="On Time"/>
    <x v="1"/>
    <x v="1"/>
  </r>
  <r>
    <x v="376"/>
    <x v="1"/>
    <x v="0"/>
    <n v="53320"/>
    <n v="2500"/>
    <d v="2025-10-04T00:00:00"/>
    <d v="2025-10-07T00:00:00"/>
    <n v="3"/>
    <s v="Agent"/>
    <x v="1"/>
    <s v="Will pay next week"/>
    <n v="1"/>
    <s v="Delayed"/>
    <x v="0"/>
    <x v="1"/>
  </r>
  <r>
    <x v="377"/>
    <x v="2"/>
    <x v="0"/>
    <n v="84881"/>
    <n v="4000"/>
    <d v="2025-10-10T00:00:00"/>
    <d v="2025-10-10T00:00:00"/>
    <n v="0"/>
    <s v="IVR"/>
    <x v="0"/>
    <s v="Paid already"/>
    <n v="0"/>
    <s v="On Time"/>
    <x v="1"/>
    <x v="0"/>
  </r>
  <r>
    <x v="378"/>
    <x v="1"/>
    <x v="1"/>
    <n v="46289"/>
    <n v="7700"/>
    <d v="2025-10-25T00:00:00"/>
    <d v="2025-10-25T00:00:00"/>
    <n v="0"/>
    <s v="AI_Call"/>
    <x v="1"/>
    <s v="Will pay next week"/>
    <n v="0"/>
    <s v="On Time"/>
    <x v="1"/>
    <x v="1"/>
  </r>
  <r>
    <x v="379"/>
    <x v="0"/>
    <x v="1"/>
    <n v="23389"/>
    <n v="2600"/>
    <d v="2025-10-07T00:00:00"/>
    <d v="2025-11-21T00:00:00"/>
    <n v="45"/>
    <s v="AI_Call"/>
    <x v="1"/>
    <s v="Please stop calling"/>
    <n v="1"/>
    <s v="Delayed"/>
    <x v="2"/>
    <x v="1"/>
  </r>
  <r>
    <x v="380"/>
    <x v="2"/>
    <x v="1"/>
    <n v="45683"/>
    <n v="5100"/>
    <d v="2025-10-22T00:00:00"/>
    <d v="2025-12-06T00:00:00"/>
    <n v="45"/>
    <s v="WhatsApp"/>
    <x v="1"/>
    <s v="Need settlement offer"/>
    <n v="1"/>
    <s v="Delayed"/>
    <x v="2"/>
    <x v="1"/>
  </r>
  <r>
    <x v="381"/>
    <x v="0"/>
    <x v="0"/>
    <n v="33629"/>
    <n v="2800"/>
    <d v="2025-10-23T00:00:00"/>
    <d v="2025-10-23T00:00:00"/>
    <n v="0"/>
    <s v="AI_Call"/>
    <x v="1"/>
    <s v="Dispute on EMI amount"/>
    <n v="0"/>
    <s v="On Time"/>
    <x v="1"/>
    <x v="1"/>
  </r>
  <r>
    <x v="382"/>
    <x v="0"/>
    <x v="1"/>
    <n v="81550"/>
    <n v="6300"/>
    <d v="2025-10-01T00:00:00"/>
    <d v="2025-10-01T00:00:00"/>
    <n v="0"/>
    <s v="WhatsApp"/>
    <x v="1"/>
    <s v="Will clear dues soon"/>
    <n v="0"/>
    <s v="On Time"/>
    <x v="1"/>
    <x v="1"/>
  </r>
  <r>
    <x v="383"/>
    <x v="1"/>
    <x v="1"/>
    <n v="44826"/>
    <n v="2000"/>
    <d v="2025-10-17T00:00:00"/>
    <d v="2025-10-24T00:00:00"/>
    <n v="7"/>
    <s v="IVR"/>
    <x v="1"/>
    <s v="No response"/>
    <n v="1"/>
    <s v="Delayed"/>
    <x v="0"/>
    <x v="1"/>
  </r>
  <r>
    <x v="384"/>
    <x v="1"/>
    <x v="0"/>
    <n v="46630"/>
    <n v="4700"/>
    <d v="2025-10-24T00:00:00"/>
    <d v="2025-10-24T00:00:00"/>
    <n v="0"/>
    <s v="AI_Call"/>
    <x v="1"/>
    <s v="Will pay next week"/>
    <n v="0"/>
    <s v="On Time"/>
    <x v="1"/>
    <x v="1"/>
  </r>
  <r>
    <x v="385"/>
    <x v="1"/>
    <x v="1"/>
    <n v="66163"/>
    <n v="5500"/>
    <d v="2025-10-29T00:00:00"/>
    <d v="2025-10-29T00:00:00"/>
    <n v="0"/>
    <s v="WhatsApp"/>
    <x v="1"/>
    <s v="No response"/>
    <n v="0"/>
    <s v="On Time"/>
    <x v="1"/>
    <x v="1"/>
  </r>
  <r>
    <x v="386"/>
    <x v="0"/>
    <x v="0"/>
    <n v="86435"/>
    <n v="9600"/>
    <d v="2025-10-29T00:00:00"/>
    <d v="2025-10-29T00:00:00"/>
    <n v="0"/>
    <s v="WhatsApp"/>
    <x v="0"/>
    <s v="Need settlement offer"/>
    <n v="0"/>
    <s v="On Time"/>
    <x v="1"/>
    <x v="0"/>
  </r>
  <r>
    <x v="387"/>
    <x v="2"/>
    <x v="1"/>
    <n v="31653"/>
    <n v="2900"/>
    <d v="2025-10-02T00:00:00"/>
    <d v="2025-10-02T00:00:00"/>
    <n v="0"/>
    <s v="Agent"/>
    <x v="1"/>
    <s v="Dispute on EMI amount"/>
    <n v="0"/>
    <s v="On Time"/>
    <x v="1"/>
    <x v="1"/>
  </r>
  <r>
    <x v="388"/>
    <x v="1"/>
    <x v="1"/>
    <n v="47961"/>
    <n v="4000"/>
    <d v="2025-10-28T00:00:00"/>
    <d v="2025-10-31T00:00:00"/>
    <n v="3"/>
    <s v="AI_Call"/>
    <x v="1"/>
    <s v="Cannot pay right now"/>
    <n v="1"/>
    <s v="Delayed"/>
    <x v="0"/>
    <x v="1"/>
  </r>
  <r>
    <x v="389"/>
    <x v="1"/>
    <x v="1"/>
    <n v="94137"/>
    <n v="4100"/>
    <d v="2025-10-26T00:00:00"/>
    <d v="2025-10-26T00:00:00"/>
    <n v="0"/>
    <s v="WhatsApp"/>
    <x v="1"/>
    <s v="Please stop calling"/>
    <n v="0"/>
    <s v="On Time"/>
    <x v="1"/>
    <x v="1"/>
  </r>
  <r>
    <x v="390"/>
    <x v="1"/>
    <x v="0"/>
    <n v="53662"/>
    <n v="5400"/>
    <d v="2025-10-11T00:00:00"/>
    <d v="2025-10-14T00:00:00"/>
    <n v="3"/>
    <s v="AI_Call"/>
    <x v="0"/>
    <s v="Need settlement offer"/>
    <n v="1"/>
    <s v="Delayed"/>
    <x v="0"/>
    <x v="0"/>
  </r>
  <r>
    <x v="391"/>
    <x v="0"/>
    <x v="0"/>
    <n v="76446"/>
    <n v="9600"/>
    <d v="2025-10-09T00:00:00"/>
    <d v="2025-11-08T00:00:00"/>
    <n v="30"/>
    <s v="IVR"/>
    <x v="1"/>
    <s v="Will clear dues soon"/>
    <n v="1"/>
    <s v="Delayed"/>
    <x v="2"/>
    <x v="1"/>
  </r>
  <r>
    <x v="392"/>
    <x v="0"/>
    <x v="0"/>
    <n v="41288"/>
    <n v="3400"/>
    <d v="2025-10-07T00:00:00"/>
    <d v="2025-10-07T00:00:00"/>
    <n v="0"/>
    <s v="IVR"/>
    <x v="1"/>
    <s v="Lost my job, need more time"/>
    <n v="0"/>
    <s v="On Time"/>
    <x v="1"/>
    <x v="1"/>
  </r>
  <r>
    <x v="393"/>
    <x v="1"/>
    <x v="1"/>
    <n v="56877"/>
    <n v="3000"/>
    <d v="2025-10-22T00:00:00"/>
    <d v="2025-10-29T00:00:00"/>
    <n v="7"/>
    <s v="Agent"/>
    <x v="1"/>
    <s v="Will pay tomorrow"/>
    <n v="1"/>
    <s v="Delayed"/>
    <x v="0"/>
    <x v="1"/>
  </r>
  <r>
    <x v="394"/>
    <x v="0"/>
    <x v="0"/>
    <n v="35313"/>
    <n v="2900"/>
    <d v="2025-10-17T00:00:00"/>
    <d v="2025-11-16T00:00:00"/>
    <n v="30"/>
    <s v="AI_Call"/>
    <x v="1"/>
    <s v="Will clear dues soon"/>
    <n v="1"/>
    <s v="Delayed"/>
    <x v="2"/>
    <x v="1"/>
  </r>
  <r>
    <x v="395"/>
    <x v="1"/>
    <x v="1"/>
    <n v="92715"/>
    <n v="9300"/>
    <d v="2025-10-17T00:00:00"/>
    <d v="2025-10-17T00:00:00"/>
    <n v="0"/>
    <s v="IVR"/>
    <x v="1"/>
    <s v="Will clear dues soon"/>
    <n v="0"/>
    <s v="On Time"/>
    <x v="1"/>
    <x v="1"/>
  </r>
  <r>
    <x v="396"/>
    <x v="1"/>
    <x v="1"/>
    <n v="30326"/>
    <n v="3000"/>
    <d v="2025-10-02T00:00:00"/>
    <d v="2025-10-02T00:00:00"/>
    <n v="0"/>
    <s v="AI_Call"/>
    <x v="1"/>
    <s v="Please stop calling"/>
    <n v="0"/>
    <s v="On Time"/>
    <x v="1"/>
    <x v="1"/>
  </r>
  <r>
    <x v="397"/>
    <x v="0"/>
    <x v="0"/>
    <n v="21560"/>
    <n v="3100"/>
    <d v="2025-10-06T00:00:00"/>
    <d v="2025-10-09T00:00:00"/>
    <n v="3"/>
    <s v="Agent"/>
    <x v="1"/>
    <s v="Will pay next week"/>
    <n v="1"/>
    <s v="Delayed"/>
    <x v="0"/>
    <x v="1"/>
  </r>
  <r>
    <x v="398"/>
    <x v="1"/>
    <x v="1"/>
    <n v="99148"/>
    <n v="9000"/>
    <d v="2025-10-14T00:00:00"/>
    <d v="2025-10-17T00:00:00"/>
    <n v="3"/>
    <s v="WhatsApp"/>
    <x v="0"/>
    <s v="Dispute on EMI amount"/>
    <n v="1"/>
    <s v="Delayed"/>
    <x v="0"/>
    <x v="0"/>
  </r>
  <r>
    <x v="399"/>
    <x v="1"/>
    <x v="1"/>
    <n v="46745"/>
    <n v="2300"/>
    <d v="2025-10-06T00:00:00"/>
    <d v="2025-10-21T00:00:00"/>
    <n v="15"/>
    <s v="WhatsApp"/>
    <x v="1"/>
    <s v="Need settlement offer"/>
    <n v="1"/>
    <s v="Delayed"/>
    <x v="2"/>
    <x v="1"/>
  </r>
  <r>
    <x v="400"/>
    <x v="2"/>
    <x v="1"/>
    <n v="51890"/>
    <n v="3500"/>
    <d v="2025-10-02T00:00:00"/>
    <d v="2025-10-02T00:00:00"/>
    <n v="0"/>
    <s v="WhatsApp"/>
    <x v="1"/>
    <s v="Need settlement offer"/>
    <n v="0"/>
    <s v="On Time"/>
    <x v="1"/>
    <x v="1"/>
  </r>
  <r>
    <x v="401"/>
    <x v="1"/>
    <x v="1"/>
    <n v="40022"/>
    <n v="3300"/>
    <d v="2025-10-01T00:00:00"/>
    <d v="2025-11-30T00:00:00"/>
    <n v="60"/>
    <s v="AI_Call"/>
    <x v="1"/>
    <s v="Need settlement offer"/>
    <n v="1"/>
    <s v="Delayed"/>
    <x v="2"/>
    <x v="1"/>
  </r>
  <r>
    <x v="402"/>
    <x v="0"/>
    <x v="1"/>
    <n v="72579"/>
    <n v="7300"/>
    <d v="2025-10-10T00:00:00"/>
    <d v="2025-10-10T00:00:00"/>
    <n v="0"/>
    <s v="AI_Call"/>
    <x v="1"/>
    <s v="Lost my job, need more time"/>
    <n v="0"/>
    <s v="On Time"/>
    <x v="1"/>
    <x v="1"/>
  </r>
  <r>
    <x v="403"/>
    <x v="1"/>
    <x v="0"/>
    <n v="90316"/>
    <n v="15100"/>
    <d v="2025-10-21T00:00:00"/>
    <d v="2025-10-21T00:00:00"/>
    <n v="0"/>
    <s v="AI_Call"/>
    <x v="1"/>
    <s v="Will pay tomorrow"/>
    <n v="0"/>
    <s v="On Time"/>
    <x v="1"/>
    <x v="1"/>
  </r>
  <r>
    <x v="404"/>
    <x v="0"/>
    <x v="1"/>
    <n v="48380"/>
    <n v="2700"/>
    <d v="2025-10-05T00:00:00"/>
    <d v="2025-10-08T00:00:00"/>
    <n v="3"/>
    <s v="Agent"/>
    <x v="0"/>
    <s v="Will clear dues soon"/>
    <n v="1"/>
    <s v="Delayed"/>
    <x v="0"/>
    <x v="0"/>
  </r>
  <r>
    <x v="405"/>
    <x v="1"/>
    <x v="0"/>
    <n v="22356"/>
    <n v="1000"/>
    <d v="2025-10-02T00:00:00"/>
    <d v="2025-10-02T00:00:00"/>
    <n v="0"/>
    <s v="AI_Call"/>
    <x v="0"/>
    <s v="No response"/>
    <n v="0"/>
    <s v="On Time"/>
    <x v="1"/>
    <x v="0"/>
  </r>
  <r>
    <x v="406"/>
    <x v="0"/>
    <x v="0"/>
    <n v="90326"/>
    <n v="5000"/>
    <d v="2025-10-22T00:00:00"/>
    <d v="2025-10-22T00:00:00"/>
    <n v="0"/>
    <s v="WhatsApp"/>
    <x v="0"/>
    <s v="Will pay next week"/>
    <n v="0"/>
    <s v="On Time"/>
    <x v="1"/>
    <x v="0"/>
  </r>
  <r>
    <x v="407"/>
    <x v="2"/>
    <x v="1"/>
    <n v="40049"/>
    <n v="1700"/>
    <d v="2025-10-16T00:00:00"/>
    <d v="2025-10-16T00:00:00"/>
    <n v="0"/>
    <s v="WhatsApp"/>
    <x v="0"/>
    <s v="Please stop calling"/>
    <n v="0"/>
    <s v="On Time"/>
    <x v="1"/>
    <x v="0"/>
  </r>
  <r>
    <x v="408"/>
    <x v="1"/>
    <x v="1"/>
    <n v="95717"/>
    <n v="9600"/>
    <d v="2025-10-25T00:00:00"/>
    <d v="2025-10-25T00:00:00"/>
    <n v="0"/>
    <s v="IVR"/>
    <x v="1"/>
    <s v="Need settlement offer"/>
    <n v="0"/>
    <s v="On Time"/>
    <x v="1"/>
    <x v="1"/>
  </r>
  <r>
    <x v="409"/>
    <x v="2"/>
    <x v="1"/>
    <n v="36082"/>
    <n v="2000"/>
    <d v="2025-10-02T00:00:00"/>
    <d v="2025-10-02T00:00:00"/>
    <n v="0"/>
    <s v="IVR"/>
    <x v="0"/>
    <s v="Dispute on EMI amount"/>
    <n v="0"/>
    <s v="On Time"/>
    <x v="1"/>
    <x v="0"/>
  </r>
  <r>
    <x v="410"/>
    <x v="0"/>
    <x v="0"/>
    <n v="20661"/>
    <n v="2300"/>
    <d v="2025-10-10T00:00:00"/>
    <d v="2025-11-24T00:00:00"/>
    <n v="45"/>
    <s v="AI_Call"/>
    <x v="1"/>
    <s v="Will pay next week"/>
    <n v="1"/>
    <s v="Delayed"/>
    <x v="2"/>
    <x v="1"/>
  </r>
  <r>
    <x v="411"/>
    <x v="1"/>
    <x v="1"/>
    <n v="57412"/>
    <n v="2600"/>
    <d v="2025-10-02T00:00:00"/>
    <d v="2025-10-02T00:00:00"/>
    <n v="0"/>
    <s v="Agent"/>
    <x v="1"/>
    <s v="Will pay next week"/>
    <n v="0"/>
    <s v="On Time"/>
    <x v="1"/>
    <x v="1"/>
  </r>
  <r>
    <x v="412"/>
    <x v="1"/>
    <x v="0"/>
    <n v="22920"/>
    <n v="2900"/>
    <d v="2025-10-16T00:00:00"/>
    <d v="2025-10-23T00:00:00"/>
    <n v="7"/>
    <s v="WhatsApp"/>
    <x v="1"/>
    <s v="Please stop calling"/>
    <n v="1"/>
    <s v="Delayed"/>
    <x v="0"/>
    <x v="1"/>
  </r>
  <r>
    <x v="413"/>
    <x v="0"/>
    <x v="1"/>
    <n v="80315"/>
    <n v="3700"/>
    <d v="2025-10-16T00:00:00"/>
    <d v="2025-10-23T00:00:00"/>
    <n v="7"/>
    <s v="IVR"/>
    <x v="1"/>
    <s v="Will pay tomorrow"/>
    <n v="1"/>
    <s v="Delayed"/>
    <x v="0"/>
    <x v="1"/>
  </r>
  <r>
    <x v="414"/>
    <x v="0"/>
    <x v="0"/>
    <n v="99561"/>
    <n v="6200"/>
    <d v="2025-10-19T00:00:00"/>
    <d v="2025-11-18T00:00:00"/>
    <n v="30"/>
    <s v="AI_Call"/>
    <x v="1"/>
    <s v="Please stop calling"/>
    <n v="1"/>
    <s v="Delayed"/>
    <x v="2"/>
    <x v="1"/>
  </r>
  <r>
    <x v="415"/>
    <x v="0"/>
    <x v="1"/>
    <n v="28946"/>
    <n v="3200"/>
    <d v="2025-10-29T00:00:00"/>
    <d v="2025-10-29T00:00:00"/>
    <n v="0"/>
    <s v="IVR"/>
    <x v="0"/>
    <s v="Will clear dues soon"/>
    <n v="0"/>
    <s v="On Time"/>
    <x v="1"/>
    <x v="0"/>
  </r>
  <r>
    <x v="416"/>
    <x v="0"/>
    <x v="1"/>
    <n v="65500"/>
    <n v="9400"/>
    <d v="2025-10-07T00:00:00"/>
    <d v="2025-11-06T00:00:00"/>
    <n v="30"/>
    <s v="WhatsApp"/>
    <x v="1"/>
    <s v="Please stop calling"/>
    <n v="1"/>
    <s v="Delayed"/>
    <x v="2"/>
    <x v="1"/>
  </r>
  <r>
    <x v="417"/>
    <x v="0"/>
    <x v="2"/>
    <n v="36309"/>
    <n v="1700"/>
    <d v="2025-10-22T00:00:00"/>
    <d v="2025-10-22T00:00:00"/>
    <n v="0"/>
    <s v="IVR"/>
    <x v="0"/>
    <s v="Cannot pay right now"/>
    <n v="0"/>
    <s v="On Time"/>
    <x v="1"/>
    <x v="0"/>
  </r>
  <r>
    <x v="418"/>
    <x v="0"/>
    <x v="0"/>
    <n v="75230"/>
    <n v="3300"/>
    <d v="2025-10-12T00:00:00"/>
    <d v="2025-10-15T00:00:00"/>
    <n v="3"/>
    <s v="WhatsApp"/>
    <x v="1"/>
    <s v="Dispute on EMI amount"/>
    <n v="1"/>
    <s v="Delayed"/>
    <x v="0"/>
    <x v="1"/>
  </r>
  <r>
    <x v="419"/>
    <x v="1"/>
    <x v="1"/>
    <n v="50027"/>
    <n v="3800"/>
    <d v="2025-10-24T00:00:00"/>
    <d v="2025-10-27T00:00:00"/>
    <n v="3"/>
    <s v="Agent"/>
    <x v="1"/>
    <s v="Need settlement offer"/>
    <n v="1"/>
    <s v="Delayed"/>
    <x v="0"/>
    <x v="1"/>
  </r>
  <r>
    <x v="420"/>
    <x v="1"/>
    <x v="0"/>
    <n v="92541"/>
    <n v="11600"/>
    <d v="2025-10-15T00:00:00"/>
    <d v="2025-10-30T00:00:00"/>
    <n v="15"/>
    <s v="WhatsApp"/>
    <x v="0"/>
    <s v="No response"/>
    <n v="1"/>
    <s v="Delayed"/>
    <x v="2"/>
    <x v="0"/>
  </r>
  <r>
    <x v="421"/>
    <x v="1"/>
    <x v="1"/>
    <n v="79321"/>
    <n v="5700"/>
    <d v="2025-10-08T00:00:00"/>
    <d v="2025-10-08T00:00:00"/>
    <n v="0"/>
    <s v="IVR"/>
    <x v="0"/>
    <s v="Will clear dues soon"/>
    <n v="0"/>
    <s v="On Time"/>
    <x v="1"/>
    <x v="0"/>
  </r>
  <r>
    <x v="422"/>
    <x v="2"/>
    <x v="0"/>
    <n v="20956"/>
    <n v="1900"/>
    <d v="2025-10-06T00:00:00"/>
    <d v="2025-10-13T00:00:00"/>
    <n v="7"/>
    <s v="IVR"/>
    <x v="1"/>
    <s v="Lost my job, need more time"/>
    <n v="1"/>
    <s v="Delayed"/>
    <x v="0"/>
    <x v="1"/>
  </r>
  <r>
    <x v="423"/>
    <x v="0"/>
    <x v="0"/>
    <n v="94131"/>
    <n v="6300"/>
    <d v="2025-10-28T00:00:00"/>
    <d v="2025-10-28T00:00:00"/>
    <n v="0"/>
    <s v="Agent"/>
    <x v="1"/>
    <s v="Will clear dues soon"/>
    <n v="0"/>
    <s v="On Time"/>
    <x v="1"/>
    <x v="1"/>
  </r>
  <r>
    <x v="424"/>
    <x v="2"/>
    <x v="1"/>
    <n v="67908"/>
    <n v="4500"/>
    <d v="2025-10-27T00:00:00"/>
    <d v="2025-11-03T00:00:00"/>
    <n v="7"/>
    <s v="WhatsApp"/>
    <x v="1"/>
    <s v="Please stop calling"/>
    <n v="1"/>
    <s v="Delayed"/>
    <x v="0"/>
    <x v="1"/>
  </r>
  <r>
    <x v="425"/>
    <x v="0"/>
    <x v="1"/>
    <n v="98339"/>
    <n v="5500"/>
    <d v="2025-10-10T00:00:00"/>
    <d v="2025-12-09T00:00:00"/>
    <n v="60"/>
    <s v="WhatsApp"/>
    <x v="1"/>
    <s v="Paid already"/>
    <n v="1"/>
    <s v="Delayed"/>
    <x v="2"/>
    <x v="1"/>
  </r>
  <r>
    <x v="426"/>
    <x v="0"/>
    <x v="1"/>
    <n v="45963"/>
    <n v="2100"/>
    <d v="2025-10-03T00:00:00"/>
    <d v="2025-10-03T00:00:00"/>
    <n v="0"/>
    <s v="WhatsApp"/>
    <x v="0"/>
    <s v="Need settlement offer"/>
    <n v="0"/>
    <s v="On Time"/>
    <x v="1"/>
    <x v="0"/>
  </r>
  <r>
    <x v="427"/>
    <x v="1"/>
    <x v="0"/>
    <n v="59443"/>
    <n v="4200"/>
    <d v="2025-10-19T00:00:00"/>
    <d v="2025-12-18T00:00:00"/>
    <n v="60"/>
    <s v="WhatsApp"/>
    <x v="1"/>
    <s v="Lost my job, need more time"/>
    <n v="1"/>
    <s v="Delayed"/>
    <x v="2"/>
    <x v="1"/>
  </r>
  <r>
    <x v="428"/>
    <x v="0"/>
    <x v="0"/>
    <n v="59063"/>
    <n v="2700"/>
    <d v="2025-10-17T00:00:00"/>
    <d v="2025-10-17T00:00:00"/>
    <n v="0"/>
    <s v="WhatsApp"/>
    <x v="1"/>
    <s v="Will clear dues soon"/>
    <n v="0"/>
    <s v="On Time"/>
    <x v="1"/>
    <x v="1"/>
  </r>
  <r>
    <x v="429"/>
    <x v="2"/>
    <x v="1"/>
    <n v="24703"/>
    <n v="1800"/>
    <d v="2025-10-07T00:00:00"/>
    <d v="2025-10-07T00:00:00"/>
    <n v="0"/>
    <s v="AI_Call"/>
    <x v="1"/>
    <s v="Paid already"/>
    <n v="0"/>
    <s v="On Time"/>
    <x v="1"/>
    <x v="1"/>
  </r>
  <r>
    <x v="430"/>
    <x v="2"/>
    <x v="1"/>
    <n v="85128"/>
    <n v="6100"/>
    <d v="2025-10-21T00:00:00"/>
    <d v="2025-10-21T00:00:00"/>
    <n v="0"/>
    <s v="WhatsApp"/>
    <x v="1"/>
    <s v="No response"/>
    <n v="0"/>
    <s v="On Time"/>
    <x v="1"/>
    <x v="1"/>
  </r>
  <r>
    <x v="431"/>
    <x v="1"/>
    <x v="0"/>
    <n v="92099"/>
    <n v="15300"/>
    <d v="2025-10-20T00:00:00"/>
    <d v="2025-10-20T00:00:00"/>
    <n v="0"/>
    <s v="WhatsApp"/>
    <x v="1"/>
    <s v="Will pay tomorrow"/>
    <n v="0"/>
    <s v="On Time"/>
    <x v="1"/>
    <x v="1"/>
  </r>
  <r>
    <x v="432"/>
    <x v="0"/>
    <x v="2"/>
    <n v="45849"/>
    <n v="6500"/>
    <d v="2025-10-26T00:00:00"/>
    <d v="2025-10-29T00:00:00"/>
    <n v="3"/>
    <s v="AI_Call"/>
    <x v="1"/>
    <s v="No response"/>
    <n v="1"/>
    <s v="Delayed"/>
    <x v="0"/>
    <x v="1"/>
  </r>
  <r>
    <x v="433"/>
    <x v="2"/>
    <x v="0"/>
    <n v="51860"/>
    <n v="2500"/>
    <d v="2025-10-04T00:00:00"/>
    <d v="2025-10-04T00:00:00"/>
    <n v="0"/>
    <s v="IVR"/>
    <x v="1"/>
    <s v="No response"/>
    <n v="0"/>
    <s v="On Time"/>
    <x v="1"/>
    <x v="1"/>
  </r>
  <r>
    <x v="434"/>
    <x v="2"/>
    <x v="1"/>
    <n v="51585"/>
    <n v="8600"/>
    <d v="2025-10-14T00:00:00"/>
    <d v="2025-10-14T00:00:00"/>
    <n v="0"/>
    <s v="IVR"/>
    <x v="0"/>
    <s v="Please stop calling"/>
    <n v="0"/>
    <s v="On Time"/>
    <x v="1"/>
    <x v="0"/>
  </r>
  <r>
    <x v="435"/>
    <x v="1"/>
    <x v="1"/>
    <n v="42015"/>
    <n v="2800"/>
    <d v="2025-10-20T00:00:00"/>
    <d v="2025-11-19T00:00:00"/>
    <n v="30"/>
    <s v="WhatsApp"/>
    <x v="1"/>
    <s v="Please stop calling"/>
    <n v="1"/>
    <s v="Delayed"/>
    <x v="2"/>
    <x v="1"/>
  </r>
  <r>
    <x v="436"/>
    <x v="2"/>
    <x v="1"/>
    <n v="97539"/>
    <n v="4200"/>
    <d v="2025-10-22T00:00:00"/>
    <d v="2025-11-06T00:00:00"/>
    <n v="15"/>
    <s v="Agent"/>
    <x v="1"/>
    <s v="Dispute on EMI amount"/>
    <n v="1"/>
    <s v="Delayed"/>
    <x v="2"/>
    <x v="1"/>
  </r>
  <r>
    <x v="437"/>
    <x v="1"/>
    <x v="2"/>
    <n v="63585"/>
    <n v="4900"/>
    <d v="2025-10-15T00:00:00"/>
    <d v="2025-10-30T00:00:00"/>
    <n v="15"/>
    <s v="WhatsApp"/>
    <x v="0"/>
    <s v="Please stop calling"/>
    <n v="1"/>
    <s v="Delayed"/>
    <x v="2"/>
    <x v="0"/>
  </r>
  <r>
    <x v="438"/>
    <x v="1"/>
    <x v="1"/>
    <n v="46958"/>
    <n v="2900"/>
    <d v="2025-10-24T00:00:00"/>
    <d v="2025-11-23T00:00:00"/>
    <n v="30"/>
    <s v="Agent"/>
    <x v="1"/>
    <s v="Cannot pay right now"/>
    <n v="1"/>
    <s v="Delayed"/>
    <x v="2"/>
    <x v="1"/>
  </r>
  <r>
    <x v="439"/>
    <x v="2"/>
    <x v="0"/>
    <n v="46017"/>
    <n v="6600"/>
    <d v="2025-10-08T00:00:00"/>
    <d v="2025-10-15T00:00:00"/>
    <n v="7"/>
    <s v="AI_Call"/>
    <x v="1"/>
    <s v="No response"/>
    <n v="1"/>
    <s v="Delayed"/>
    <x v="0"/>
    <x v="1"/>
  </r>
  <r>
    <x v="440"/>
    <x v="2"/>
    <x v="1"/>
    <n v="96707"/>
    <n v="7400"/>
    <d v="2025-10-21T00:00:00"/>
    <d v="2025-10-21T00:00:00"/>
    <n v="0"/>
    <s v="WhatsApp"/>
    <x v="1"/>
    <s v="Lost my job, need more time"/>
    <n v="0"/>
    <s v="On Time"/>
    <x v="1"/>
    <x v="1"/>
  </r>
  <r>
    <x v="441"/>
    <x v="1"/>
    <x v="0"/>
    <n v="65350"/>
    <n v="5000"/>
    <d v="2025-10-15T00:00:00"/>
    <d v="2025-10-15T00:00:00"/>
    <n v="0"/>
    <s v="Agent"/>
    <x v="0"/>
    <s v="Cannot pay right now"/>
    <n v="0"/>
    <s v="On Time"/>
    <x v="1"/>
    <x v="0"/>
  </r>
  <r>
    <x v="442"/>
    <x v="0"/>
    <x v="0"/>
    <n v="32201"/>
    <n v="1500"/>
    <d v="2025-10-22T00:00:00"/>
    <d v="2025-10-29T00:00:00"/>
    <n v="7"/>
    <s v="WhatsApp"/>
    <x v="1"/>
    <s v="No response"/>
    <n v="1"/>
    <s v="Delayed"/>
    <x v="0"/>
    <x v="1"/>
  </r>
  <r>
    <x v="443"/>
    <x v="0"/>
    <x v="0"/>
    <n v="49426"/>
    <n v="2500"/>
    <d v="2025-10-20T00:00:00"/>
    <d v="2025-10-20T00:00:00"/>
    <n v="0"/>
    <s v="WhatsApp"/>
    <x v="0"/>
    <s v="Need settlement offer"/>
    <n v="0"/>
    <s v="On Time"/>
    <x v="1"/>
    <x v="0"/>
  </r>
  <r>
    <x v="444"/>
    <x v="1"/>
    <x v="1"/>
    <n v="37778"/>
    <n v="1700"/>
    <d v="2025-10-28T00:00:00"/>
    <d v="2025-10-31T00:00:00"/>
    <n v="3"/>
    <s v="AI_Call"/>
    <x v="1"/>
    <s v="Paid already"/>
    <n v="1"/>
    <s v="Delayed"/>
    <x v="0"/>
    <x v="1"/>
  </r>
  <r>
    <x v="445"/>
    <x v="1"/>
    <x v="1"/>
    <n v="65241"/>
    <n v="3600"/>
    <d v="2025-10-14T00:00:00"/>
    <d v="2025-10-14T00:00:00"/>
    <n v="0"/>
    <s v="AI_Call"/>
    <x v="0"/>
    <s v="No response"/>
    <n v="0"/>
    <s v="On Time"/>
    <x v="1"/>
    <x v="0"/>
  </r>
  <r>
    <x v="446"/>
    <x v="1"/>
    <x v="1"/>
    <n v="62229"/>
    <n v="6200"/>
    <d v="2025-10-27T00:00:00"/>
    <d v="2025-10-27T00:00:00"/>
    <n v="0"/>
    <s v="AI_Call"/>
    <x v="1"/>
    <s v="Will clear dues soon"/>
    <n v="0"/>
    <s v="On Time"/>
    <x v="1"/>
    <x v="1"/>
  </r>
  <r>
    <x v="447"/>
    <x v="1"/>
    <x v="2"/>
    <n v="68364"/>
    <n v="4000"/>
    <d v="2025-10-29T00:00:00"/>
    <d v="2025-10-29T00:00:00"/>
    <n v="0"/>
    <s v="WhatsApp"/>
    <x v="1"/>
    <s v="Cannot pay right now"/>
    <n v="0"/>
    <s v="On Time"/>
    <x v="1"/>
    <x v="1"/>
  </r>
  <r>
    <x v="448"/>
    <x v="0"/>
    <x v="0"/>
    <n v="77056"/>
    <n v="12800"/>
    <d v="2025-10-09T00:00:00"/>
    <d v="2025-10-12T00:00:00"/>
    <n v="3"/>
    <s v="IVR"/>
    <x v="1"/>
    <s v="Need settlement offer"/>
    <n v="1"/>
    <s v="Delayed"/>
    <x v="0"/>
    <x v="1"/>
  </r>
  <r>
    <x v="449"/>
    <x v="2"/>
    <x v="0"/>
    <n v="47490"/>
    <n v="4700"/>
    <d v="2025-10-08T00:00:00"/>
    <d v="2025-10-11T00:00:00"/>
    <n v="3"/>
    <s v="AI_Call"/>
    <x v="1"/>
    <s v="No response"/>
    <n v="1"/>
    <s v="Delayed"/>
    <x v="0"/>
    <x v="1"/>
  </r>
  <r>
    <x v="450"/>
    <x v="1"/>
    <x v="0"/>
    <n v="39975"/>
    <n v="3100"/>
    <d v="2025-10-26T00:00:00"/>
    <d v="2025-10-29T00:00:00"/>
    <n v="3"/>
    <s v="WhatsApp"/>
    <x v="1"/>
    <s v="Lost my job, need more time"/>
    <n v="1"/>
    <s v="Delayed"/>
    <x v="0"/>
    <x v="1"/>
  </r>
  <r>
    <x v="451"/>
    <x v="0"/>
    <x v="0"/>
    <n v="46723"/>
    <n v="2600"/>
    <d v="2025-10-28T00:00:00"/>
    <d v="2025-10-28T00:00:00"/>
    <n v="0"/>
    <s v="WhatsApp"/>
    <x v="1"/>
    <s v="No response"/>
    <n v="0"/>
    <s v="On Time"/>
    <x v="1"/>
    <x v="1"/>
  </r>
  <r>
    <x v="452"/>
    <x v="0"/>
    <x v="1"/>
    <n v="43279"/>
    <n v="3300"/>
    <d v="2025-10-26T00:00:00"/>
    <d v="2025-10-26T00:00:00"/>
    <n v="0"/>
    <s v="WhatsApp"/>
    <x v="0"/>
    <s v="Dispute on EMI amount"/>
    <n v="0"/>
    <s v="On Time"/>
    <x v="1"/>
    <x v="0"/>
  </r>
  <r>
    <x v="453"/>
    <x v="1"/>
    <x v="2"/>
    <n v="98301"/>
    <n v="6100"/>
    <d v="2025-10-17T00:00:00"/>
    <d v="2025-11-01T00:00:00"/>
    <n v="15"/>
    <s v="WhatsApp"/>
    <x v="1"/>
    <s v="No response"/>
    <n v="1"/>
    <s v="Delayed"/>
    <x v="2"/>
    <x v="1"/>
  </r>
  <r>
    <x v="454"/>
    <x v="2"/>
    <x v="1"/>
    <n v="31561"/>
    <n v="5300"/>
    <d v="2025-10-02T00:00:00"/>
    <d v="2025-10-05T00:00:00"/>
    <n v="3"/>
    <s v="Agent"/>
    <x v="0"/>
    <s v="No response"/>
    <n v="1"/>
    <s v="Delayed"/>
    <x v="0"/>
    <x v="0"/>
  </r>
  <r>
    <x v="455"/>
    <x v="0"/>
    <x v="1"/>
    <n v="86061"/>
    <n v="4800"/>
    <d v="2025-10-25T00:00:00"/>
    <d v="2025-10-25T00:00:00"/>
    <n v="0"/>
    <s v="IVR"/>
    <x v="1"/>
    <s v="Lost my job, need more time"/>
    <n v="0"/>
    <s v="On Time"/>
    <x v="1"/>
    <x v="1"/>
  </r>
  <r>
    <x v="456"/>
    <x v="2"/>
    <x v="0"/>
    <n v="69153"/>
    <n v="8600"/>
    <d v="2025-10-24T00:00:00"/>
    <d v="2025-11-08T00:00:00"/>
    <n v="15"/>
    <s v="Agent"/>
    <x v="0"/>
    <s v="Please stop calling"/>
    <n v="1"/>
    <s v="Delayed"/>
    <x v="2"/>
    <x v="0"/>
  </r>
  <r>
    <x v="457"/>
    <x v="0"/>
    <x v="1"/>
    <n v="53142"/>
    <n v="2400"/>
    <d v="2025-10-30T00:00:00"/>
    <d v="2025-10-30T00:00:00"/>
    <n v="0"/>
    <s v="IVR"/>
    <x v="1"/>
    <s v="No response"/>
    <n v="0"/>
    <s v="On Time"/>
    <x v="1"/>
    <x v="1"/>
  </r>
  <r>
    <x v="458"/>
    <x v="2"/>
    <x v="1"/>
    <n v="46916"/>
    <n v="4700"/>
    <d v="2025-10-03T00:00:00"/>
    <d v="2025-10-03T00:00:00"/>
    <n v="0"/>
    <s v="AI_Call"/>
    <x v="1"/>
    <s v="Lost my job, need more time"/>
    <n v="0"/>
    <s v="On Time"/>
    <x v="1"/>
    <x v="1"/>
  </r>
  <r>
    <x v="459"/>
    <x v="2"/>
    <x v="0"/>
    <n v="84324"/>
    <n v="6500"/>
    <d v="2025-10-08T00:00:00"/>
    <d v="2025-10-08T00:00:00"/>
    <n v="0"/>
    <s v="WhatsApp"/>
    <x v="1"/>
    <s v="Will clear dues soon"/>
    <n v="0"/>
    <s v="On Time"/>
    <x v="1"/>
    <x v="1"/>
  </r>
  <r>
    <x v="460"/>
    <x v="2"/>
    <x v="1"/>
    <n v="64965"/>
    <n v="3400"/>
    <d v="2025-10-12T00:00:00"/>
    <d v="2025-10-19T00:00:00"/>
    <n v="7"/>
    <s v="IVR"/>
    <x v="0"/>
    <s v="Cannot pay right now"/>
    <n v="1"/>
    <s v="Delayed"/>
    <x v="0"/>
    <x v="0"/>
  </r>
  <r>
    <x v="461"/>
    <x v="0"/>
    <x v="0"/>
    <n v="24648"/>
    <n v="2700"/>
    <d v="2025-10-01T00:00:00"/>
    <d v="2025-10-04T00:00:00"/>
    <n v="3"/>
    <s v="WhatsApp"/>
    <x v="1"/>
    <s v="Will pay next week"/>
    <n v="1"/>
    <s v="Delayed"/>
    <x v="0"/>
    <x v="1"/>
  </r>
  <r>
    <x v="462"/>
    <x v="1"/>
    <x v="1"/>
    <n v="55133"/>
    <n v="3400"/>
    <d v="2025-10-10T00:00:00"/>
    <d v="2025-10-10T00:00:00"/>
    <n v="0"/>
    <s v="WhatsApp"/>
    <x v="1"/>
    <s v="Paid already"/>
    <n v="0"/>
    <s v="On Time"/>
    <x v="1"/>
    <x v="1"/>
  </r>
  <r>
    <x v="463"/>
    <x v="0"/>
    <x v="1"/>
    <n v="70677"/>
    <n v="3500"/>
    <d v="2025-10-20T00:00:00"/>
    <d v="2025-11-04T00:00:00"/>
    <n v="15"/>
    <s v="IVR"/>
    <x v="1"/>
    <s v="Will clear dues soon"/>
    <n v="1"/>
    <s v="Delayed"/>
    <x v="2"/>
    <x v="1"/>
  </r>
  <r>
    <x v="464"/>
    <x v="1"/>
    <x v="1"/>
    <n v="90135"/>
    <n v="7500"/>
    <d v="2025-10-03T00:00:00"/>
    <d v="2025-10-03T00:00:00"/>
    <n v="0"/>
    <s v="Agent"/>
    <x v="1"/>
    <s v="Paid already"/>
    <n v="0"/>
    <s v="On Time"/>
    <x v="1"/>
    <x v="1"/>
  </r>
  <r>
    <x v="465"/>
    <x v="0"/>
    <x v="1"/>
    <n v="55046"/>
    <n v="3400"/>
    <d v="2025-10-06T00:00:00"/>
    <d v="2025-10-06T00:00:00"/>
    <n v="0"/>
    <s v="AI_Call"/>
    <x v="1"/>
    <s v="Will pay next week"/>
    <n v="0"/>
    <s v="On Time"/>
    <x v="1"/>
    <x v="1"/>
  </r>
  <r>
    <x v="466"/>
    <x v="0"/>
    <x v="0"/>
    <n v="67064"/>
    <n v="6700"/>
    <d v="2025-10-07T00:00:00"/>
    <d v="2025-10-07T00:00:00"/>
    <n v="0"/>
    <s v="WhatsApp"/>
    <x v="1"/>
    <s v="Need settlement offer"/>
    <n v="0"/>
    <s v="On Time"/>
    <x v="1"/>
    <x v="1"/>
  </r>
  <r>
    <x v="467"/>
    <x v="1"/>
    <x v="1"/>
    <n v="89350"/>
    <n v="8900"/>
    <d v="2025-10-20T00:00:00"/>
    <d v="2025-10-20T00:00:00"/>
    <n v="0"/>
    <s v="WhatsApp"/>
    <x v="1"/>
    <s v="Lost my job, need more time"/>
    <n v="0"/>
    <s v="On Time"/>
    <x v="1"/>
    <x v="1"/>
  </r>
  <r>
    <x v="468"/>
    <x v="0"/>
    <x v="0"/>
    <n v="65893"/>
    <n v="5100"/>
    <d v="2025-10-23T00:00:00"/>
    <d v="2025-10-23T00:00:00"/>
    <n v="0"/>
    <s v="WhatsApp"/>
    <x v="1"/>
    <s v="Need settlement offer"/>
    <n v="0"/>
    <s v="On Time"/>
    <x v="1"/>
    <x v="1"/>
  </r>
  <r>
    <x v="469"/>
    <x v="1"/>
    <x v="1"/>
    <n v="81272"/>
    <n v="5400"/>
    <d v="2025-10-25T00:00:00"/>
    <d v="2025-10-28T00:00:00"/>
    <n v="3"/>
    <s v="IVR"/>
    <x v="1"/>
    <s v="Will pay tomorrow"/>
    <n v="1"/>
    <s v="Delayed"/>
    <x v="0"/>
    <x v="1"/>
  </r>
  <r>
    <x v="470"/>
    <x v="2"/>
    <x v="0"/>
    <n v="87649"/>
    <n v="8000"/>
    <d v="2025-10-27T00:00:00"/>
    <d v="2025-11-11T00:00:00"/>
    <n v="15"/>
    <s v="AI_Call"/>
    <x v="0"/>
    <s v="Cannot pay right now"/>
    <n v="1"/>
    <s v="Delayed"/>
    <x v="2"/>
    <x v="0"/>
  </r>
  <r>
    <x v="471"/>
    <x v="1"/>
    <x v="2"/>
    <n v="84674"/>
    <n v="4200"/>
    <d v="2025-10-18T00:00:00"/>
    <d v="2025-10-18T00:00:00"/>
    <n v="0"/>
    <s v="Agent"/>
    <x v="0"/>
    <s v="Will pay tomorrow"/>
    <n v="0"/>
    <s v="On Time"/>
    <x v="1"/>
    <x v="0"/>
  </r>
  <r>
    <x v="472"/>
    <x v="2"/>
    <x v="0"/>
    <n v="33760"/>
    <n v="1600"/>
    <d v="2025-10-11T00:00:00"/>
    <d v="2025-10-11T00:00:00"/>
    <n v="0"/>
    <s v="WhatsApp"/>
    <x v="0"/>
    <s v="No response"/>
    <n v="0"/>
    <s v="On Time"/>
    <x v="1"/>
    <x v="0"/>
  </r>
  <r>
    <x v="473"/>
    <x v="1"/>
    <x v="1"/>
    <n v="41927"/>
    <n v="1900"/>
    <d v="2025-10-19T00:00:00"/>
    <d v="2025-10-19T00:00:00"/>
    <n v="0"/>
    <s v="IVR"/>
    <x v="0"/>
    <s v="Will pay tomorrow"/>
    <n v="0"/>
    <s v="On Time"/>
    <x v="1"/>
    <x v="0"/>
  </r>
  <r>
    <x v="474"/>
    <x v="0"/>
    <x v="1"/>
    <n v="81367"/>
    <n v="6300"/>
    <d v="2025-10-05T00:00:00"/>
    <d v="2025-10-05T00:00:00"/>
    <n v="0"/>
    <s v="IVR"/>
    <x v="1"/>
    <s v="No response"/>
    <n v="0"/>
    <s v="On Time"/>
    <x v="1"/>
    <x v="1"/>
  </r>
  <r>
    <x v="475"/>
    <x v="1"/>
    <x v="1"/>
    <n v="32588"/>
    <n v="2500"/>
    <d v="2025-10-19T00:00:00"/>
    <d v="2025-10-19T00:00:00"/>
    <n v="0"/>
    <s v="AI_Call"/>
    <x v="1"/>
    <s v="Will pay next week"/>
    <n v="0"/>
    <s v="On Time"/>
    <x v="1"/>
    <x v="1"/>
  </r>
  <r>
    <x v="476"/>
    <x v="2"/>
    <x v="0"/>
    <n v="72233"/>
    <n v="5200"/>
    <d v="2025-10-11T00:00:00"/>
    <d v="2025-10-18T00:00:00"/>
    <n v="7"/>
    <s v="IVR"/>
    <x v="0"/>
    <s v="Will pay tomorrow"/>
    <n v="1"/>
    <s v="Delayed"/>
    <x v="0"/>
    <x v="0"/>
  </r>
  <r>
    <x v="477"/>
    <x v="0"/>
    <x v="1"/>
    <n v="64738"/>
    <n v="9200"/>
    <d v="2025-10-24T00:00:00"/>
    <d v="2025-10-24T00:00:00"/>
    <n v="0"/>
    <s v="AI_Call"/>
    <x v="1"/>
    <s v="Need settlement offer"/>
    <n v="0"/>
    <s v="On Time"/>
    <x v="1"/>
    <x v="1"/>
  </r>
  <r>
    <x v="478"/>
    <x v="1"/>
    <x v="1"/>
    <n v="53397"/>
    <n v="2700"/>
    <d v="2025-10-12T00:00:00"/>
    <d v="2025-10-19T00:00:00"/>
    <n v="7"/>
    <s v="AI_Call"/>
    <x v="0"/>
    <s v="Will pay next week"/>
    <n v="1"/>
    <s v="Delayed"/>
    <x v="0"/>
    <x v="0"/>
  </r>
  <r>
    <x v="479"/>
    <x v="0"/>
    <x v="0"/>
    <n v="96367"/>
    <n v="4200"/>
    <d v="2025-10-10T00:00:00"/>
    <d v="2025-10-25T00:00:00"/>
    <n v="15"/>
    <s v="WhatsApp"/>
    <x v="1"/>
    <s v="Lost my job, need more time"/>
    <n v="1"/>
    <s v="Delayed"/>
    <x v="2"/>
    <x v="1"/>
  </r>
  <r>
    <x v="480"/>
    <x v="0"/>
    <x v="1"/>
    <n v="91260"/>
    <n v="11400"/>
    <d v="2025-10-08T00:00:00"/>
    <d v="2025-10-08T00:00:00"/>
    <n v="0"/>
    <s v="AI_Call"/>
    <x v="1"/>
    <s v="Need settlement offer"/>
    <n v="0"/>
    <s v="On Time"/>
    <x v="1"/>
    <x v="1"/>
  </r>
  <r>
    <x v="481"/>
    <x v="0"/>
    <x v="0"/>
    <n v="96619"/>
    <n v="4400"/>
    <d v="2025-10-24T00:00:00"/>
    <d v="2025-11-08T00:00:00"/>
    <n v="15"/>
    <s v="WhatsApp"/>
    <x v="1"/>
    <s v="Will pay tomorrow"/>
    <n v="1"/>
    <s v="Delayed"/>
    <x v="2"/>
    <x v="1"/>
  </r>
  <r>
    <x v="482"/>
    <x v="0"/>
    <x v="1"/>
    <n v="39816"/>
    <n v="4400"/>
    <d v="2025-10-28T00:00:00"/>
    <d v="2025-10-31T00:00:00"/>
    <n v="3"/>
    <s v="AI_Call"/>
    <x v="0"/>
    <s v="Please stop calling"/>
    <n v="1"/>
    <s v="Delayed"/>
    <x v="0"/>
    <x v="0"/>
  </r>
  <r>
    <x v="483"/>
    <x v="0"/>
    <x v="1"/>
    <n v="62240"/>
    <n v="6900"/>
    <d v="2025-10-28T00:00:00"/>
    <d v="2025-10-31T00:00:00"/>
    <n v="3"/>
    <s v="IVR"/>
    <x v="1"/>
    <s v="Will clear dues soon"/>
    <n v="1"/>
    <s v="Delayed"/>
    <x v="0"/>
    <x v="1"/>
  </r>
  <r>
    <x v="484"/>
    <x v="0"/>
    <x v="0"/>
    <n v="26276"/>
    <n v="1400"/>
    <d v="2025-10-09T00:00:00"/>
    <d v="2025-10-09T00:00:00"/>
    <n v="0"/>
    <s v="IVR"/>
    <x v="1"/>
    <s v="No response"/>
    <n v="0"/>
    <s v="On Time"/>
    <x v="1"/>
    <x v="1"/>
  </r>
  <r>
    <x v="485"/>
    <x v="1"/>
    <x v="1"/>
    <n v="99530"/>
    <n v="7100"/>
    <d v="2025-10-04T00:00:00"/>
    <d v="2025-10-04T00:00:00"/>
    <n v="0"/>
    <s v="Agent"/>
    <x v="1"/>
    <s v="Need settlement offer"/>
    <n v="0"/>
    <s v="On Time"/>
    <x v="1"/>
    <x v="1"/>
  </r>
  <r>
    <x v="486"/>
    <x v="2"/>
    <x v="0"/>
    <n v="43499"/>
    <n v="3100"/>
    <d v="2025-10-05T00:00:00"/>
    <d v="2025-10-05T00:00:00"/>
    <n v="0"/>
    <s v="Agent"/>
    <x v="1"/>
    <s v="Paid already"/>
    <n v="0"/>
    <s v="On Time"/>
    <x v="1"/>
    <x v="1"/>
  </r>
  <r>
    <x v="487"/>
    <x v="0"/>
    <x v="1"/>
    <n v="91635"/>
    <n v="4000"/>
    <d v="2025-10-21T00:00:00"/>
    <d v="2025-10-21T00:00:00"/>
    <n v="0"/>
    <s v="AI_Call"/>
    <x v="1"/>
    <s v="No response"/>
    <n v="0"/>
    <s v="On Time"/>
    <x v="1"/>
    <x v="1"/>
  </r>
  <r>
    <x v="488"/>
    <x v="1"/>
    <x v="1"/>
    <n v="55946"/>
    <n v="3700"/>
    <d v="2025-10-08T00:00:00"/>
    <d v="2025-10-08T00:00:00"/>
    <n v="0"/>
    <s v="IVR"/>
    <x v="0"/>
    <s v="No response"/>
    <n v="0"/>
    <s v="On Time"/>
    <x v="1"/>
    <x v="0"/>
  </r>
  <r>
    <x v="489"/>
    <x v="1"/>
    <x v="0"/>
    <n v="75204"/>
    <n v="8400"/>
    <d v="2025-10-23T00:00:00"/>
    <d v="2025-10-26T00:00:00"/>
    <n v="3"/>
    <s v="AI_Call"/>
    <x v="1"/>
    <s v="Need settlement offer"/>
    <n v="1"/>
    <s v="Delayed"/>
    <x v="0"/>
    <x v="1"/>
  </r>
  <r>
    <x v="490"/>
    <x v="0"/>
    <x v="0"/>
    <n v="71886"/>
    <n v="4200"/>
    <d v="2025-10-09T00:00:00"/>
    <d v="2025-10-09T00:00:00"/>
    <n v="0"/>
    <s v="IVR"/>
    <x v="1"/>
    <s v="Will pay next week"/>
    <n v="0"/>
    <s v="On Time"/>
    <x v="1"/>
    <x v="1"/>
  </r>
  <r>
    <x v="491"/>
    <x v="0"/>
    <x v="0"/>
    <n v="91652"/>
    <n v="7100"/>
    <d v="2025-10-15T00:00:00"/>
    <d v="2025-11-14T00:00:00"/>
    <n v="30"/>
    <s v="Agent"/>
    <x v="1"/>
    <s v="Will pay tomorrow"/>
    <n v="1"/>
    <s v="Delayed"/>
    <x v="2"/>
    <x v="1"/>
  </r>
  <r>
    <x v="492"/>
    <x v="0"/>
    <x v="1"/>
    <n v="35563"/>
    <n v="5100"/>
    <d v="2025-10-15T00:00:00"/>
    <d v="2025-10-22T00:00:00"/>
    <n v="7"/>
    <s v="IVR"/>
    <x v="0"/>
    <s v="Please stop calling"/>
    <n v="1"/>
    <s v="Delayed"/>
    <x v="0"/>
    <x v="0"/>
  </r>
  <r>
    <x v="493"/>
    <x v="2"/>
    <x v="0"/>
    <n v="29847"/>
    <n v="1700"/>
    <d v="2025-10-16T00:00:00"/>
    <d v="2025-10-16T00:00:00"/>
    <n v="0"/>
    <s v="Agent"/>
    <x v="1"/>
    <s v="Paid already"/>
    <n v="0"/>
    <s v="On Time"/>
    <x v="1"/>
    <x v="1"/>
  </r>
  <r>
    <x v="494"/>
    <x v="0"/>
    <x v="1"/>
    <n v="46155"/>
    <n v="2200"/>
    <d v="2025-10-14T00:00:00"/>
    <d v="2025-10-14T00:00:00"/>
    <n v="0"/>
    <s v="Agent"/>
    <x v="1"/>
    <s v="Paid already"/>
    <n v="0"/>
    <s v="On Time"/>
    <x v="1"/>
    <x v="1"/>
  </r>
  <r>
    <x v="495"/>
    <x v="0"/>
    <x v="1"/>
    <n v="99671"/>
    <n v="14200"/>
    <d v="2025-10-08T00:00:00"/>
    <d v="2025-11-07T00:00:00"/>
    <n v="30"/>
    <s v="AI_Call"/>
    <x v="1"/>
    <s v="Will clear dues soon"/>
    <n v="1"/>
    <s v="Delayed"/>
    <x v="2"/>
    <x v="1"/>
  </r>
  <r>
    <x v="496"/>
    <x v="0"/>
    <x v="2"/>
    <n v="87278"/>
    <n v="5500"/>
    <d v="2025-10-18T00:00:00"/>
    <d v="2025-11-02T00:00:00"/>
    <n v="15"/>
    <s v="WhatsApp"/>
    <x v="1"/>
    <s v="No response"/>
    <n v="1"/>
    <s v="Delayed"/>
    <x v="2"/>
    <x v="1"/>
  </r>
  <r>
    <x v="497"/>
    <x v="2"/>
    <x v="1"/>
    <n v="38309"/>
    <n v="2600"/>
    <d v="2025-10-10T00:00:00"/>
    <d v="2025-10-17T00:00:00"/>
    <n v="7"/>
    <s v="WhatsApp"/>
    <x v="1"/>
    <s v="Will pay next week"/>
    <n v="1"/>
    <s v="Delayed"/>
    <x v="0"/>
    <x v="1"/>
  </r>
  <r>
    <x v="498"/>
    <x v="1"/>
    <x v="2"/>
    <n v="20619"/>
    <n v="1000"/>
    <d v="2025-10-28T00:00:00"/>
    <d v="2025-10-28T00:00:00"/>
    <n v="0"/>
    <s v="Agent"/>
    <x v="0"/>
    <s v="Dispute on EMI amount"/>
    <n v="0"/>
    <s v="On Time"/>
    <x v="1"/>
    <x v="0"/>
  </r>
  <r>
    <x v="499"/>
    <x v="1"/>
    <x v="1"/>
    <n v="70108"/>
    <n v="3200"/>
    <d v="2025-10-20T00:00:00"/>
    <d v="2025-10-20T00:00:00"/>
    <n v="0"/>
    <s v="WhatsApp"/>
    <x v="1"/>
    <s v="No response"/>
    <n v="0"/>
    <s v="On Time"/>
    <x v="1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s v="CUST_0001"/>
    <x v="0"/>
    <s v="Medium"/>
    <n v="77134"/>
    <n v="3400"/>
    <d v="2025-10-08T00:00:00"/>
    <d v="2025-10-11T00:00:00"/>
    <n v="3"/>
    <x v="0"/>
    <s v="Yes"/>
    <s v="Need settlement offer"/>
    <n v="1"/>
    <s v="Delayed"/>
    <s v="Medium"/>
    <n v="1"/>
    <x v="0"/>
  </r>
  <r>
    <s v="CUST_0002"/>
    <x v="1"/>
    <s v="Medium"/>
    <n v="40491"/>
    <n v="2100"/>
    <d v="2025-10-18T00:00:00"/>
    <d v="2025-10-18T00:00:00"/>
    <n v="0"/>
    <x v="1"/>
    <s v="Yes"/>
    <s v="Dispute on EMI amount"/>
    <n v="0"/>
    <s v="On Time"/>
    <s v="Low"/>
    <n v="1"/>
    <x v="1"/>
  </r>
  <r>
    <s v="CUST_0003"/>
    <x v="1"/>
    <s v="Low"/>
    <n v="21341"/>
    <n v="3000"/>
    <d v="2025-10-23T00:00:00"/>
    <d v="2025-10-26T00:00:00"/>
    <n v="3"/>
    <x v="2"/>
    <s v="No"/>
    <s v="Will pay tomorrow"/>
    <n v="1"/>
    <s v="Delayed"/>
    <s v="Medium"/>
    <n v="0"/>
    <x v="1"/>
  </r>
  <r>
    <s v="CUST_0004"/>
    <x v="0"/>
    <s v="Medium"/>
    <n v="64623"/>
    <n v="4600"/>
    <d v="2025-10-09T00:00:00"/>
    <d v="2025-10-09T00:00:00"/>
    <n v="0"/>
    <x v="2"/>
    <s v="No"/>
    <s v="Will pay tomorrow"/>
    <n v="0"/>
    <s v="On Time"/>
    <s v="Low"/>
    <n v="0"/>
    <x v="0"/>
  </r>
  <r>
    <s v="CUST_0005"/>
    <x v="2"/>
    <s v="Medium"/>
    <n v="20338"/>
    <n v="2000"/>
    <d v="2025-10-25T00:00:00"/>
    <d v="2025-11-24T00:00:00"/>
    <n v="30"/>
    <x v="0"/>
    <s v="No"/>
    <s v="Paid already"/>
    <n v="1"/>
    <s v="Delayed"/>
    <s v="High"/>
    <n v="0"/>
    <x v="1"/>
  </r>
  <r>
    <s v="CUST_0006"/>
    <x v="2"/>
    <s v="Low"/>
    <n v="91431"/>
    <n v="15200"/>
    <d v="2025-10-08T00:00:00"/>
    <d v="2025-10-08T00:00:00"/>
    <n v="0"/>
    <x v="3"/>
    <s v="No"/>
    <s v="Paid already"/>
    <n v="0"/>
    <s v="On Time"/>
    <s v="Low"/>
    <n v="0"/>
    <x v="2"/>
  </r>
  <r>
    <s v="CUST_0007"/>
    <x v="2"/>
    <s v="High"/>
    <n v="32254"/>
    <n v="4000"/>
    <d v="2025-10-27T00:00:00"/>
    <d v="2025-10-27T00:00:00"/>
    <n v="0"/>
    <x v="2"/>
    <s v="No"/>
    <s v="Dispute on EMI amount"/>
    <n v="0"/>
    <s v="On Time"/>
    <s v="Low"/>
    <n v="0"/>
    <x v="1"/>
  </r>
  <r>
    <s v="CUST_0008"/>
    <x v="1"/>
    <s v="Medium"/>
    <n v="71860"/>
    <n v="6500"/>
    <d v="2025-10-14T00:00:00"/>
    <d v="2025-10-17T00:00:00"/>
    <n v="3"/>
    <x v="1"/>
    <s v="No"/>
    <s v="Lost my job, need more time"/>
    <n v="1"/>
    <s v="Delayed"/>
    <s v="Medium"/>
    <n v="0"/>
    <x v="0"/>
  </r>
  <r>
    <s v="CUST_0009"/>
    <x v="0"/>
    <s v="High"/>
    <n v="31344"/>
    <n v="3100"/>
    <d v="2025-10-28T00:00:00"/>
    <d v="2025-10-28T00:00:00"/>
    <n v="0"/>
    <x v="1"/>
    <s v="No"/>
    <s v="No response"/>
    <n v="0"/>
    <s v="On Time"/>
    <s v="Low"/>
    <n v="0"/>
    <x v="1"/>
  </r>
  <r>
    <s v="CUST_0010"/>
    <x v="1"/>
    <s v="Medium"/>
    <n v="21750"/>
    <n v="2200"/>
    <d v="2025-10-26T00:00:00"/>
    <d v="2025-10-26T00:00:00"/>
    <n v="0"/>
    <x v="3"/>
    <s v="No"/>
    <s v="Lost my job, need more time"/>
    <n v="0"/>
    <s v="On Time"/>
    <s v="Low"/>
    <n v="0"/>
    <x v="1"/>
  </r>
  <r>
    <s v="CUST_0011"/>
    <x v="2"/>
    <s v="Medium"/>
    <n v="74756"/>
    <n v="12500"/>
    <d v="2025-10-25T00:00:00"/>
    <d v="2025-11-01T00:00:00"/>
    <n v="7"/>
    <x v="1"/>
    <s v="Yes"/>
    <s v="No response"/>
    <n v="1"/>
    <s v="Delayed"/>
    <s v="Medium"/>
    <n v="1"/>
    <x v="0"/>
  </r>
  <r>
    <s v="CUST_0012"/>
    <x v="1"/>
    <s v="Low"/>
    <n v="87957"/>
    <n v="4000"/>
    <d v="2025-10-18T00:00:00"/>
    <d v="2025-11-02T00:00:00"/>
    <n v="15"/>
    <x v="1"/>
    <s v="No"/>
    <s v="No response"/>
    <n v="1"/>
    <s v="Delayed"/>
    <s v="High"/>
    <n v="0"/>
    <x v="2"/>
  </r>
  <r>
    <s v="CUST_0013"/>
    <x v="1"/>
    <s v="High"/>
    <n v="78053"/>
    <n v="4100"/>
    <d v="2025-10-22T00:00:00"/>
    <d v="2025-10-22T00:00:00"/>
    <n v="0"/>
    <x v="3"/>
    <s v="No"/>
    <s v="Need settlement offer"/>
    <n v="0"/>
    <s v="On Time"/>
    <s v="Low"/>
    <n v="0"/>
    <x v="0"/>
  </r>
  <r>
    <s v="CUST_0014"/>
    <x v="0"/>
    <s v="Medium"/>
    <n v="90855"/>
    <n v="5300"/>
    <d v="2025-10-20T00:00:00"/>
    <d v="2025-10-27T00:00:00"/>
    <n v="7"/>
    <x v="0"/>
    <s v="Yes"/>
    <s v="Need settlement offer"/>
    <n v="1"/>
    <s v="Delayed"/>
    <s v="Medium"/>
    <n v="1"/>
    <x v="2"/>
  </r>
  <r>
    <s v="CUST_0015"/>
    <x v="2"/>
    <s v="Low"/>
    <n v="35896"/>
    <n v="2400"/>
    <d v="2025-10-30T00:00:00"/>
    <d v="2025-12-14T00:00:00"/>
    <n v="45"/>
    <x v="3"/>
    <s v="No"/>
    <s v="Paid already"/>
    <n v="1"/>
    <s v="Delayed"/>
    <s v="High"/>
    <n v="0"/>
    <x v="1"/>
  </r>
  <r>
    <s v="CUST_0016"/>
    <x v="2"/>
    <s v="Low"/>
    <n v="75761"/>
    <n v="3300"/>
    <d v="2025-10-20T00:00:00"/>
    <d v="2025-11-04T00:00:00"/>
    <n v="15"/>
    <x v="2"/>
    <s v="No"/>
    <s v="Need settlement offer"/>
    <n v="1"/>
    <s v="Delayed"/>
    <s v="High"/>
    <n v="0"/>
    <x v="0"/>
  </r>
  <r>
    <s v="CUST_0017"/>
    <x v="0"/>
    <s v="Low"/>
    <n v="82552"/>
    <n v="5200"/>
    <d v="2025-10-21T00:00:00"/>
    <d v="2025-10-21T00:00:00"/>
    <n v="0"/>
    <x v="3"/>
    <s v="No"/>
    <s v="Lost my job, need more time"/>
    <n v="0"/>
    <s v="On Time"/>
    <s v="Low"/>
    <n v="0"/>
    <x v="2"/>
  </r>
  <r>
    <s v="CUST_0018"/>
    <x v="0"/>
    <s v="Medium"/>
    <n v="97454"/>
    <n v="13900"/>
    <d v="2025-10-12T00:00:00"/>
    <d v="2025-10-19T00:00:00"/>
    <n v="7"/>
    <x v="3"/>
    <s v="No"/>
    <s v="Will pay next week"/>
    <n v="1"/>
    <s v="Delayed"/>
    <s v="Medium"/>
    <n v="0"/>
    <x v="2"/>
  </r>
  <r>
    <s v="CUST_0019"/>
    <x v="0"/>
    <s v="High"/>
    <n v="47935"/>
    <n v="2100"/>
    <d v="2025-10-19T00:00:00"/>
    <d v="2025-10-19T00:00:00"/>
    <n v="0"/>
    <x v="0"/>
    <s v="No"/>
    <s v="Lost my job, need more time"/>
    <n v="0"/>
    <s v="On Time"/>
    <s v="Low"/>
    <n v="0"/>
    <x v="3"/>
  </r>
  <r>
    <s v="CUST_0020"/>
    <x v="0"/>
    <s v="Low"/>
    <n v="57641"/>
    <n v="4800"/>
    <d v="2025-10-14T00:00:00"/>
    <d v="2025-12-13T00:00:00"/>
    <n v="60"/>
    <x v="2"/>
    <s v="No"/>
    <s v="Need settlement offer"/>
    <n v="1"/>
    <s v="Delayed"/>
    <s v="High"/>
    <n v="0"/>
    <x v="3"/>
  </r>
  <r>
    <s v="CUST_0021"/>
    <x v="0"/>
    <s v="Medium"/>
    <n v="49711"/>
    <n v="2500"/>
    <d v="2025-10-17T00:00:00"/>
    <d v="2025-10-17T00:00:00"/>
    <n v="0"/>
    <x v="2"/>
    <s v="No"/>
    <s v="No response"/>
    <n v="0"/>
    <s v="On Time"/>
    <s v="Low"/>
    <n v="0"/>
    <x v="3"/>
  </r>
  <r>
    <s v="CUST_0022"/>
    <x v="2"/>
    <s v="Low"/>
    <n v="90342"/>
    <n v="5600"/>
    <d v="2025-10-24T00:00:00"/>
    <d v="2025-10-24T00:00:00"/>
    <n v="0"/>
    <x v="3"/>
    <s v="No"/>
    <s v="Lost my job, need more time"/>
    <n v="0"/>
    <s v="On Time"/>
    <s v="Low"/>
    <n v="0"/>
    <x v="2"/>
  </r>
  <r>
    <s v="CUST_0023"/>
    <x v="0"/>
    <s v="High"/>
    <n v="32182"/>
    <n v="1400"/>
    <d v="2025-10-21T00:00:00"/>
    <d v="2025-10-28T00:00:00"/>
    <n v="7"/>
    <x v="2"/>
    <s v="No"/>
    <s v="Lost my job, need more time"/>
    <n v="1"/>
    <s v="Delayed"/>
    <s v="Medium"/>
    <n v="0"/>
    <x v="1"/>
  </r>
  <r>
    <s v="CUST_0024"/>
    <x v="0"/>
    <s v="Medium"/>
    <n v="76276"/>
    <n v="4500"/>
    <d v="2025-10-03T00:00:00"/>
    <d v="2025-10-03T00:00:00"/>
    <n v="0"/>
    <x v="2"/>
    <s v="Yes"/>
    <s v="Paid already"/>
    <n v="0"/>
    <s v="On Time"/>
    <s v="Low"/>
    <n v="1"/>
    <x v="0"/>
  </r>
  <r>
    <s v="CUST_0025"/>
    <x v="0"/>
    <s v="Medium"/>
    <n v="39541"/>
    <n v="3600"/>
    <d v="2025-10-26T00:00:00"/>
    <d v="2025-12-25T00:00:00"/>
    <n v="60"/>
    <x v="2"/>
    <s v="Yes"/>
    <s v="No response"/>
    <n v="1"/>
    <s v="Delayed"/>
    <s v="High"/>
    <n v="1"/>
    <x v="1"/>
  </r>
  <r>
    <s v="CUST_0026"/>
    <x v="1"/>
    <s v="Low"/>
    <n v="64813"/>
    <n v="3600"/>
    <d v="2025-10-30T00:00:00"/>
    <d v="2025-12-14T00:00:00"/>
    <n v="45"/>
    <x v="3"/>
    <s v="No"/>
    <s v="No response"/>
    <n v="1"/>
    <s v="Delayed"/>
    <s v="High"/>
    <n v="0"/>
    <x v="0"/>
  </r>
  <r>
    <s v="CUST_0027"/>
    <x v="2"/>
    <s v="Low"/>
    <n v="57198"/>
    <n v="2700"/>
    <d v="2025-10-23T00:00:00"/>
    <d v="2025-10-26T00:00:00"/>
    <n v="3"/>
    <x v="0"/>
    <s v="No"/>
    <s v="Will clear dues soon"/>
    <n v="1"/>
    <s v="Delayed"/>
    <s v="Medium"/>
    <n v="0"/>
    <x v="3"/>
  </r>
  <r>
    <s v="CUST_0028"/>
    <x v="0"/>
    <s v="Low"/>
    <n v="28820"/>
    <n v="1300"/>
    <d v="2025-10-07T00:00:00"/>
    <d v="2025-10-07T00:00:00"/>
    <n v="0"/>
    <x v="2"/>
    <s v="No"/>
    <s v="Cannot pay right now"/>
    <n v="0"/>
    <s v="On Time"/>
    <s v="Low"/>
    <n v="0"/>
    <x v="1"/>
  </r>
  <r>
    <s v="CUST_0029"/>
    <x v="0"/>
    <s v="Low"/>
    <n v="44070"/>
    <n v="2900"/>
    <d v="2025-10-17T00:00:00"/>
    <d v="2025-10-20T00:00:00"/>
    <n v="3"/>
    <x v="2"/>
    <s v="No"/>
    <s v="Need settlement offer"/>
    <n v="1"/>
    <s v="Delayed"/>
    <s v="Medium"/>
    <n v="0"/>
    <x v="3"/>
  </r>
  <r>
    <s v="CUST_0030"/>
    <x v="2"/>
    <s v="Medium"/>
    <n v="89768"/>
    <n v="6900"/>
    <d v="2025-10-12T00:00:00"/>
    <d v="2025-10-12T00:00:00"/>
    <n v="0"/>
    <x v="3"/>
    <s v="Yes"/>
    <s v="Need settlement offer"/>
    <n v="0"/>
    <s v="On Time"/>
    <s v="Low"/>
    <n v="1"/>
    <x v="2"/>
  </r>
  <r>
    <s v="CUST_0031"/>
    <x v="0"/>
    <s v="Medium"/>
    <n v="31122"/>
    <n v="1400"/>
    <d v="2025-10-09T00:00:00"/>
    <d v="2025-10-09T00:00:00"/>
    <n v="0"/>
    <x v="1"/>
    <s v="No"/>
    <s v="No response"/>
    <n v="0"/>
    <s v="On Time"/>
    <s v="Low"/>
    <n v="0"/>
    <x v="1"/>
  </r>
  <r>
    <s v="CUST_0032"/>
    <x v="2"/>
    <s v="High"/>
    <n v="93543"/>
    <n v="15600"/>
    <d v="2025-10-15T00:00:00"/>
    <d v="2025-10-30T00:00:00"/>
    <n v="15"/>
    <x v="2"/>
    <s v="No"/>
    <s v="Cannot pay right now"/>
    <n v="1"/>
    <s v="Delayed"/>
    <s v="High"/>
    <n v="0"/>
    <x v="2"/>
  </r>
  <r>
    <s v="CUST_0033"/>
    <x v="2"/>
    <s v="High"/>
    <n v="61786"/>
    <n v="4800"/>
    <d v="2025-10-18T00:00:00"/>
    <d v="2025-10-18T00:00:00"/>
    <n v="0"/>
    <x v="2"/>
    <s v="Yes"/>
    <s v="Will clear dues soon"/>
    <n v="0"/>
    <s v="On Time"/>
    <s v="Low"/>
    <n v="1"/>
    <x v="0"/>
  </r>
  <r>
    <s v="CUST_0034"/>
    <x v="1"/>
    <s v="Medium"/>
    <n v="26737"/>
    <n v="2400"/>
    <d v="2025-10-21T00:00:00"/>
    <d v="2025-10-21T00:00:00"/>
    <n v="0"/>
    <x v="3"/>
    <s v="No"/>
    <s v="No response"/>
    <n v="0"/>
    <s v="On Time"/>
    <s v="Low"/>
    <n v="0"/>
    <x v="1"/>
  </r>
  <r>
    <s v="CUST_0035"/>
    <x v="1"/>
    <s v="Medium"/>
    <n v="56062"/>
    <n v="5600"/>
    <d v="2025-10-13T00:00:00"/>
    <d v="2025-11-27T00:00:00"/>
    <n v="45"/>
    <x v="0"/>
    <s v="Yes"/>
    <s v="Will pay tomorrow"/>
    <n v="1"/>
    <s v="Delayed"/>
    <s v="High"/>
    <n v="1"/>
    <x v="3"/>
  </r>
  <r>
    <s v="CUST_0036"/>
    <x v="1"/>
    <s v="High"/>
    <n v="74237"/>
    <n v="3700"/>
    <d v="2025-10-30T00:00:00"/>
    <d v="2025-10-30T00:00:00"/>
    <n v="0"/>
    <x v="3"/>
    <s v="No"/>
    <s v="Paid already"/>
    <n v="0"/>
    <s v="On Time"/>
    <s v="Low"/>
    <n v="0"/>
    <x v="0"/>
  </r>
  <r>
    <s v="CUST_0037"/>
    <x v="0"/>
    <s v="Medium"/>
    <n v="71571"/>
    <n v="3600"/>
    <d v="2025-10-21T00:00:00"/>
    <d v="2025-10-21T00:00:00"/>
    <n v="0"/>
    <x v="1"/>
    <s v="No"/>
    <s v="Will clear dues soon"/>
    <n v="0"/>
    <s v="On Time"/>
    <s v="Low"/>
    <n v="0"/>
    <x v="0"/>
  </r>
  <r>
    <s v="CUST_0038"/>
    <x v="2"/>
    <s v="Low"/>
    <n v="45510"/>
    <n v="6500"/>
    <d v="2025-10-30T00:00:00"/>
    <d v="2025-11-29T00:00:00"/>
    <n v="30"/>
    <x v="2"/>
    <s v="No"/>
    <s v="Cannot pay right now"/>
    <n v="1"/>
    <s v="Delayed"/>
    <s v="High"/>
    <n v="0"/>
    <x v="3"/>
  </r>
  <r>
    <s v="CUST_0039"/>
    <x v="0"/>
    <s v="Low"/>
    <n v="39426"/>
    <n v="6600"/>
    <d v="2025-10-08T00:00:00"/>
    <d v="2025-10-08T00:00:00"/>
    <n v="0"/>
    <x v="3"/>
    <s v="No"/>
    <s v="Paid already"/>
    <n v="0"/>
    <s v="On Time"/>
    <s v="Low"/>
    <n v="0"/>
    <x v="1"/>
  </r>
  <r>
    <s v="CUST_0040"/>
    <x v="0"/>
    <s v="Low"/>
    <n v="57265"/>
    <n v="3600"/>
    <d v="2025-10-14T00:00:00"/>
    <d v="2025-10-21T00:00:00"/>
    <n v="7"/>
    <x v="1"/>
    <s v="No"/>
    <s v="Cannot pay right now"/>
    <n v="1"/>
    <s v="Delayed"/>
    <s v="Medium"/>
    <n v="0"/>
    <x v="3"/>
  </r>
  <r>
    <s v="CUST_0041"/>
    <x v="2"/>
    <s v="High"/>
    <n v="37850"/>
    <n v="2500"/>
    <d v="2025-10-08T00:00:00"/>
    <d v="2025-12-07T00:00:00"/>
    <n v="60"/>
    <x v="3"/>
    <s v="No"/>
    <s v="Please stop calling"/>
    <n v="1"/>
    <s v="Delayed"/>
    <s v="High"/>
    <n v="0"/>
    <x v="1"/>
  </r>
  <r>
    <s v="CUST_0042"/>
    <x v="0"/>
    <s v="Medium"/>
    <n v="86150"/>
    <n v="3700"/>
    <d v="2025-10-14T00:00:00"/>
    <d v="2025-11-13T00:00:00"/>
    <n v="30"/>
    <x v="0"/>
    <s v="Yes"/>
    <s v="Please stop calling"/>
    <n v="1"/>
    <s v="Delayed"/>
    <s v="High"/>
    <n v="1"/>
    <x v="2"/>
  </r>
  <r>
    <s v="CUST_0043"/>
    <x v="2"/>
    <s v="Low"/>
    <n v="94910"/>
    <n v="4100"/>
    <d v="2025-10-07T00:00:00"/>
    <d v="2025-10-10T00:00:00"/>
    <n v="3"/>
    <x v="0"/>
    <s v="No"/>
    <s v="Dispute on EMI amount"/>
    <n v="1"/>
    <s v="Delayed"/>
    <s v="Medium"/>
    <n v="0"/>
    <x v="2"/>
  </r>
  <r>
    <s v="CUST_0044"/>
    <x v="1"/>
    <s v="Medium"/>
    <n v="72375"/>
    <n v="3300"/>
    <d v="2025-10-23T00:00:00"/>
    <d v="2025-10-23T00:00:00"/>
    <n v="0"/>
    <x v="0"/>
    <s v="No"/>
    <s v="Please stop calling"/>
    <n v="0"/>
    <s v="On Time"/>
    <s v="Low"/>
    <n v="0"/>
    <x v="0"/>
  </r>
  <r>
    <s v="CUST_0045"/>
    <x v="0"/>
    <s v="Medium"/>
    <n v="55435"/>
    <n v="4300"/>
    <d v="2025-10-12T00:00:00"/>
    <d v="2025-10-12T00:00:00"/>
    <n v="0"/>
    <x v="3"/>
    <s v="No"/>
    <s v="Need settlement offer"/>
    <n v="0"/>
    <s v="On Time"/>
    <s v="Low"/>
    <n v="0"/>
    <x v="3"/>
  </r>
  <r>
    <s v="CUST_0046"/>
    <x v="0"/>
    <s v="Low"/>
    <n v="77132"/>
    <n v="3900"/>
    <d v="2025-10-11T00:00:00"/>
    <d v="2025-10-26T00:00:00"/>
    <n v="15"/>
    <x v="1"/>
    <s v="No"/>
    <s v="Cannot pay right now"/>
    <n v="1"/>
    <s v="Delayed"/>
    <s v="High"/>
    <n v="0"/>
    <x v="0"/>
  </r>
  <r>
    <s v="CUST_0047"/>
    <x v="0"/>
    <s v="Low"/>
    <n v="98945"/>
    <n v="7600"/>
    <d v="2025-10-22T00:00:00"/>
    <d v="2025-11-21T00:00:00"/>
    <n v="30"/>
    <x v="2"/>
    <s v="Yes"/>
    <s v="Dispute on EMI amount"/>
    <n v="1"/>
    <s v="Delayed"/>
    <s v="High"/>
    <n v="1"/>
    <x v="2"/>
  </r>
  <r>
    <s v="CUST_0048"/>
    <x v="0"/>
    <s v="Medium"/>
    <n v="22983"/>
    <n v="1000"/>
    <d v="2025-10-22T00:00:00"/>
    <d v="2025-10-22T00:00:00"/>
    <n v="0"/>
    <x v="0"/>
    <s v="No"/>
    <s v="Dispute on EMI amount"/>
    <n v="0"/>
    <s v="On Time"/>
    <s v="Low"/>
    <n v="0"/>
    <x v="1"/>
  </r>
  <r>
    <s v="CUST_0049"/>
    <x v="0"/>
    <s v="Medium"/>
    <n v="40662"/>
    <n v="2400"/>
    <d v="2025-10-11T00:00:00"/>
    <d v="2025-10-11T00:00:00"/>
    <n v="0"/>
    <x v="1"/>
    <s v="No"/>
    <s v="Cannot pay right now"/>
    <n v="0"/>
    <s v="On Time"/>
    <s v="Low"/>
    <n v="0"/>
    <x v="1"/>
  </r>
  <r>
    <s v="CUST_0050"/>
    <x v="2"/>
    <s v="Medium"/>
    <n v="43510"/>
    <n v="3300"/>
    <d v="2025-10-25T00:00:00"/>
    <d v="2025-10-25T00:00:00"/>
    <n v="0"/>
    <x v="1"/>
    <s v="Yes"/>
    <s v="Will pay tomorrow"/>
    <n v="0"/>
    <s v="On Time"/>
    <s v="Low"/>
    <n v="1"/>
    <x v="3"/>
  </r>
  <r>
    <s v="CUST_0051"/>
    <x v="1"/>
    <s v="Medium"/>
    <n v="98187"/>
    <n v="5200"/>
    <d v="2025-10-22T00:00:00"/>
    <d v="2025-10-22T00:00:00"/>
    <n v="0"/>
    <x v="2"/>
    <s v="No"/>
    <s v="Will pay tomorrow"/>
    <n v="0"/>
    <s v="On Time"/>
    <s v="Low"/>
    <n v="0"/>
    <x v="2"/>
  </r>
  <r>
    <s v="CUST_0052"/>
    <x v="1"/>
    <s v="Medium"/>
    <n v="60998"/>
    <n v="6800"/>
    <d v="2025-10-28T00:00:00"/>
    <d v="2025-11-04T00:00:00"/>
    <n v="7"/>
    <x v="2"/>
    <s v="Yes"/>
    <s v="Need settlement offer"/>
    <n v="1"/>
    <s v="Delayed"/>
    <s v="Medium"/>
    <n v="1"/>
    <x v="0"/>
  </r>
  <r>
    <s v="CUST_0053"/>
    <x v="1"/>
    <s v="Medium"/>
    <n v="76846"/>
    <n v="12800"/>
    <d v="2025-10-29T00:00:00"/>
    <d v="2025-10-29T00:00:00"/>
    <n v="0"/>
    <x v="3"/>
    <s v="No"/>
    <s v="Please stop calling"/>
    <n v="0"/>
    <s v="On Time"/>
    <s v="Low"/>
    <n v="0"/>
    <x v="0"/>
  </r>
  <r>
    <s v="CUST_0054"/>
    <x v="1"/>
    <s v="Medium"/>
    <n v="26640"/>
    <n v="4400"/>
    <d v="2025-10-13T00:00:00"/>
    <d v="2025-11-12T00:00:00"/>
    <n v="30"/>
    <x v="1"/>
    <s v="No"/>
    <s v="Will pay tomorrow"/>
    <n v="1"/>
    <s v="Delayed"/>
    <s v="High"/>
    <n v="0"/>
    <x v="1"/>
  </r>
  <r>
    <s v="CUST_0055"/>
    <x v="0"/>
    <s v="Medium"/>
    <n v="64547"/>
    <n v="3100"/>
    <d v="2025-10-18T00:00:00"/>
    <d v="2025-10-25T00:00:00"/>
    <n v="7"/>
    <x v="2"/>
    <s v="No"/>
    <s v="Will pay next week"/>
    <n v="1"/>
    <s v="Delayed"/>
    <s v="Medium"/>
    <n v="0"/>
    <x v="0"/>
  </r>
  <r>
    <s v="CUST_0056"/>
    <x v="1"/>
    <s v="Low"/>
    <n v="74620"/>
    <n v="3900"/>
    <d v="2025-10-02T00:00:00"/>
    <d v="2025-10-02T00:00:00"/>
    <n v="0"/>
    <x v="2"/>
    <s v="No"/>
    <s v="Will pay next week"/>
    <n v="0"/>
    <s v="On Time"/>
    <s v="Low"/>
    <n v="0"/>
    <x v="0"/>
  </r>
  <r>
    <s v="CUST_0057"/>
    <x v="2"/>
    <s v="Low"/>
    <n v="35317"/>
    <n v="1700"/>
    <d v="2025-10-29T00:00:00"/>
    <d v="2025-11-01T00:00:00"/>
    <n v="3"/>
    <x v="1"/>
    <s v="No"/>
    <s v="Dispute on EMI amount"/>
    <n v="1"/>
    <s v="Delayed"/>
    <s v="Medium"/>
    <n v="0"/>
    <x v="1"/>
  </r>
  <r>
    <s v="CUST_0058"/>
    <x v="2"/>
    <s v="Low"/>
    <n v="27564"/>
    <n v="2800"/>
    <d v="2025-10-21T00:00:00"/>
    <d v="2025-10-21T00:00:00"/>
    <n v="0"/>
    <x v="2"/>
    <s v="No"/>
    <s v="No response"/>
    <n v="0"/>
    <s v="On Time"/>
    <s v="Low"/>
    <n v="0"/>
    <x v="1"/>
  </r>
  <r>
    <s v="CUST_0059"/>
    <x v="2"/>
    <s v="Medium"/>
    <n v="47345"/>
    <n v="3400"/>
    <d v="2025-10-15T00:00:00"/>
    <d v="2025-10-18T00:00:00"/>
    <n v="3"/>
    <x v="3"/>
    <s v="No"/>
    <s v="Paid already"/>
    <n v="1"/>
    <s v="Delayed"/>
    <s v="Medium"/>
    <n v="0"/>
    <x v="3"/>
  </r>
  <r>
    <s v="CUST_0060"/>
    <x v="0"/>
    <s v="Medium"/>
    <n v="99273"/>
    <n v="14200"/>
    <d v="2025-10-20T00:00:00"/>
    <d v="2025-10-27T00:00:00"/>
    <n v="7"/>
    <x v="2"/>
    <s v="No"/>
    <s v="Cannot pay right now"/>
    <n v="1"/>
    <s v="Delayed"/>
    <s v="Medium"/>
    <n v="0"/>
    <x v="2"/>
  </r>
  <r>
    <s v="CUST_0061"/>
    <x v="0"/>
    <s v="Medium"/>
    <n v="94859"/>
    <n v="4100"/>
    <d v="2025-10-27T00:00:00"/>
    <d v="2025-11-11T00:00:00"/>
    <n v="15"/>
    <x v="2"/>
    <s v="No"/>
    <s v="Will pay next week"/>
    <n v="1"/>
    <s v="Delayed"/>
    <s v="High"/>
    <n v="0"/>
    <x v="2"/>
  </r>
  <r>
    <s v="CUST_0062"/>
    <x v="0"/>
    <s v="Low"/>
    <n v="94038"/>
    <n v="8500"/>
    <d v="2025-10-18T00:00:00"/>
    <d v="2025-11-02T00:00:00"/>
    <n v="15"/>
    <x v="2"/>
    <s v="Yes"/>
    <s v="Please stop calling"/>
    <n v="1"/>
    <s v="Delayed"/>
    <s v="High"/>
    <n v="1"/>
    <x v="2"/>
  </r>
  <r>
    <s v="CUST_0063"/>
    <x v="1"/>
    <s v="Low"/>
    <n v="72393"/>
    <n v="5200"/>
    <d v="2025-10-15T00:00:00"/>
    <d v="2025-10-15T00:00:00"/>
    <n v="0"/>
    <x v="3"/>
    <s v="No"/>
    <s v="Paid already"/>
    <n v="0"/>
    <s v="On Time"/>
    <s v="Low"/>
    <n v="0"/>
    <x v="0"/>
  </r>
  <r>
    <s v="CUST_0064"/>
    <x v="0"/>
    <s v="Low"/>
    <n v="86081"/>
    <n v="14300"/>
    <d v="2025-10-19T00:00:00"/>
    <d v="2025-10-19T00:00:00"/>
    <n v="0"/>
    <x v="3"/>
    <s v="No"/>
    <s v="Lost my job, need more time"/>
    <n v="0"/>
    <s v="On Time"/>
    <s v="Low"/>
    <n v="0"/>
    <x v="2"/>
  </r>
  <r>
    <s v="CUST_0065"/>
    <x v="0"/>
    <s v="Low"/>
    <n v="49430"/>
    <n v="3500"/>
    <d v="2025-10-23T00:00:00"/>
    <d v="2025-10-30T00:00:00"/>
    <n v="7"/>
    <x v="3"/>
    <s v="Yes"/>
    <s v="Please stop calling"/>
    <n v="1"/>
    <s v="Delayed"/>
    <s v="Medium"/>
    <n v="1"/>
    <x v="3"/>
  </r>
  <r>
    <s v="CUST_0066"/>
    <x v="0"/>
    <s v="Medium"/>
    <n v="95532"/>
    <n v="4500"/>
    <d v="2025-10-24T00:00:00"/>
    <d v="2025-10-24T00:00:00"/>
    <n v="0"/>
    <x v="1"/>
    <s v="No"/>
    <s v="Dispute on EMI amount"/>
    <n v="0"/>
    <s v="On Time"/>
    <s v="Low"/>
    <n v="0"/>
    <x v="2"/>
  </r>
  <r>
    <s v="CUST_0067"/>
    <x v="2"/>
    <s v="Low"/>
    <n v="47788"/>
    <n v="2700"/>
    <d v="2025-10-12T00:00:00"/>
    <d v="2025-10-12T00:00:00"/>
    <n v="0"/>
    <x v="3"/>
    <s v="No"/>
    <s v="Cannot pay right now"/>
    <n v="0"/>
    <s v="On Time"/>
    <s v="Low"/>
    <n v="0"/>
    <x v="3"/>
  </r>
  <r>
    <s v="CUST_0068"/>
    <x v="1"/>
    <s v="Low"/>
    <n v="68543"/>
    <n v="4900"/>
    <d v="2025-10-13T00:00:00"/>
    <d v="2025-10-13T00:00:00"/>
    <n v="0"/>
    <x v="2"/>
    <s v="Yes"/>
    <s v="Will clear dues soon"/>
    <n v="0"/>
    <s v="On Time"/>
    <s v="Low"/>
    <n v="1"/>
    <x v="0"/>
  </r>
  <r>
    <s v="CUST_0069"/>
    <x v="2"/>
    <s v="High"/>
    <n v="33919"/>
    <n v="1900"/>
    <d v="2025-10-22T00:00:00"/>
    <d v="2025-10-25T00:00:00"/>
    <n v="3"/>
    <x v="0"/>
    <s v="No"/>
    <s v="Will pay next week"/>
    <n v="1"/>
    <s v="Delayed"/>
    <s v="Medium"/>
    <n v="0"/>
    <x v="1"/>
  </r>
  <r>
    <s v="CUST_0070"/>
    <x v="1"/>
    <s v="Low"/>
    <n v="89346"/>
    <n v="6400"/>
    <d v="2025-10-11T00:00:00"/>
    <d v="2025-10-11T00:00:00"/>
    <n v="0"/>
    <x v="3"/>
    <s v="No"/>
    <s v="Will pay tomorrow"/>
    <n v="0"/>
    <s v="On Time"/>
    <s v="Low"/>
    <n v="0"/>
    <x v="2"/>
  </r>
  <r>
    <s v="CUST_0071"/>
    <x v="1"/>
    <s v="Medium"/>
    <n v="59974"/>
    <n v="3700"/>
    <d v="2025-10-05T00:00:00"/>
    <d v="2025-10-08T00:00:00"/>
    <n v="3"/>
    <x v="2"/>
    <s v="No"/>
    <s v="Need settlement offer"/>
    <n v="1"/>
    <s v="Delayed"/>
    <s v="Medium"/>
    <n v="0"/>
    <x v="0"/>
  </r>
  <r>
    <s v="CUST_0072"/>
    <x v="2"/>
    <s v="Medium"/>
    <n v="36371"/>
    <n v="4000"/>
    <d v="2025-10-29T00:00:00"/>
    <d v="2025-12-28T00:00:00"/>
    <n v="60"/>
    <x v="1"/>
    <s v="Yes"/>
    <s v="Need settlement offer"/>
    <n v="1"/>
    <s v="Delayed"/>
    <s v="High"/>
    <n v="1"/>
    <x v="1"/>
  </r>
  <r>
    <s v="CUST_0073"/>
    <x v="2"/>
    <s v="Low"/>
    <n v="65084"/>
    <n v="9300"/>
    <d v="2025-10-01T00:00:00"/>
    <d v="2025-10-01T00:00:00"/>
    <n v="0"/>
    <x v="0"/>
    <s v="Yes"/>
    <s v="Cannot pay right now"/>
    <n v="0"/>
    <s v="On Time"/>
    <s v="Low"/>
    <n v="1"/>
    <x v="0"/>
  </r>
  <r>
    <s v="CUST_0074"/>
    <x v="1"/>
    <s v="Medium"/>
    <n v="49629"/>
    <n v="4500"/>
    <d v="2025-10-24T00:00:00"/>
    <d v="2025-10-24T00:00:00"/>
    <n v="0"/>
    <x v="1"/>
    <s v="No"/>
    <s v="Will pay next week"/>
    <n v="0"/>
    <s v="On Time"/>
    <s v="Low"/>
    <n v="0"/>
    <x v="3"/>
  </r>
  <r>
    <s v="CUST_0075"/>
    <x v="1"/>
    <s v="Medium"/>
    <n v="71184"/>
    <n v="3700"/>
    <d v="2025-10-03T00:00:00"/>
    <d v="2025-10-03T00:00:00"/>
    <n v="0"/>
    <x v="1"/>
    <s v="No"/>
    <s v="Will pay next week"/>
    <n v="0"/>
    <s v="On Time"/>
    <s v="Low"/>
    <n v="0"/>
    <x v="0"/>
  </r>
  <r>
    <s v="CUST_0076"/>
    <x v="1"/>
    <s v="High"/>
    <n v="81916"/>
    <n v="9100"/>
    <d v="2025-10-22T00:00:00"/>
    <d v="2025-11-06T00:00:00"/>
    <n v="15"/>
    <x v="1"/>
    <s v="No"/>
    <s v="Please stop calling"/>
    <n v="1"/>
    <s v="Delayed"/>
    <s v="High"/>
    <n v="0"/>
    <x v="2"/>
  </r>
  <r>
    <s v="CUST_0077"/>
    <x v="1"/>
    <s v="Low"/>
    <n v="93972"/>
    <n v="8500"/>
    <d v="2025-10-19T00:00:00"/>
    <d v="2025-10-19T00:00:00"/>
    <n v="0"/>
    <x v="2"/>
    <s v="No"/>
    <s v="Need settlement offer"/>
    <n v="0"/>
    <s v="On Time"/>
    <s v="Low"/>
    <n v="0"/>
    <x v="2"/>
  </r>
  <r>
    <s v="CUST_0078"/>
    <x v="2"/>
    <s v="High"/>
    <n v="82187"/>
    <n v="7500"/>
    <d v="2025-10-23T00:00:00"/>
    <d v="2025-10-23T00:00:00"/>
    <n v="0"/>
    <x v="1"/>
    <s v="Yes"/>
    <s v="Please stop calling"/>
    <n v="0"/>
    <s v="On Time"/>
    <s v="Low"/>
    <n v="1"/>
    <x v="2"/>
  </r>
  <r>
    <s v="CUST_0079"/>
    <x v="0"/>
    <s v="Low"/>
    <n v="32984"/>
    <n v="4700"/>
    <d v="2025-10-29T00:00:00"/>
    <d v="2025-10-29T00:00:00"/>
    <n v="0"/>
    <x v="3"/>
    <s v="No"/>
    <s v="Will clear dues soon"/>
    <n v="0"/>
    <s v="On Time"/>
    <s v="Low"/>
    <n v="0"/>
    <x v="1"/>
  </r>
  <r>
    <s v="CUST_0080"/>
    <x v="2"/>
    <s v="Low"/>
    <n v="53039"/>
    <n v="2300"/>
    <d v="2025-10-30T00:00:00"/>
    <d v="2025-11-06T00:00:00"/>
    <n v="7"/>
    <x v="0"/>
    <s v="Yes"/>
    <s v="Lost my job, need more time"/>
    <n v="1"/>
    <s v="Delayed"/>
    <s v="Medium"/>
    <n v="1"/>
    <x v="3"/>
  </r>
  <r>
    <s v="CUST_0081"/>
    <x v="1"/>
    <s v="Low"/>
    <n v="78606"/>
    <n v="4400"/>
    <d v="2025-10-07T00:00:00"/>
    <d v="2025-10-07T00:00:00"/>
    <n v="0"/>
    <x v="2"/>
    <s v="No"/>
    <s v="Will pay next week"/>
    <n v="0"/>
    <s v="On Time"/>
    <s v="Low"/>
    <n v="0"/>
    <x v="0"/>
  </r>
  <r>
    <s v="CUST_0082"/>
    <x v="0"/>
    <s v="High"/>
    <n v="30616"/>
    <n v="2200"/>
    <d v="2025-10-12T00:00:00"/>
    <d v="2025-10-19T00:00:00"/>
    <n v="7"/>
    <x v="2"/>
    <s v="No"/>
    <s v="Will clear dues soon"/>
    <n v="1"/>
    <s v="Delayed"/>
    <s v="Medium"/>
    <n v="0"/>
    <x v="1"/>
  </r>
  <r>
    <s v="CUST_0083"/>
    <x v="0"/>
    <s v="Low"/>
    <n v="70072"/>
    <n v="3900"/>
    <d v="2025-10-15T00:00:00"/>
    <d v="2025-11-14T00:00:00"/>
    <n v="30"/>
    <x v="3"/>
    <s v="No"/>
    <s v="Please stop calling"/>
    <n v="1"/>
    <s v="Delayed"/>
    <s v="High"/>
    <n v="0"/>
    <x v="0"/>
  </r>
  <r>
    <s v="CUST_0084"/>
    <x v="2"/>
    <s v="Low"/>
    <n v="44574"/>
    <n v="2800"/>
    <d v="2025-10-25T00:00:00"/>
    <d v="2025-10-25T00:00:00"/>
    <n v="0"/>
    <x v="1"/>
    <s v="No"/>
    <s v="Paid already"/>
    <n v="0"/>
    <s v="On Time"/>
    <s v="Low"/>
    <n v="0"/>
    <x v="3"/>
  </r>
  <r>
    <s v="CUST_0085"/>
    <x v="0"/>
    <s v="Medium"/>
    <n v="23430"/>
    <n v="3900"/>
    <d v="2025-10-05T00:00:00"/>
    <d v="2025-10-20T00:00:00"/>
    <n v="15"/>
    <x v="3"/>
    <s v="Yes"/>
    <s v="Will pay tomorrow"/>
    <n v="1"/>
    <s v="Delayed"/>
    <s v="High"/>
    <n v="1"/>
    <x v="1"/>
  </r>
  <r>
    <s v="CUST_0086"/>
    <x v="0"/>
    <s v="Low"/>
    <n v="32676"/>
    <n v="2700"/>
    <d v="2025-10-15T00:00:00"/>
    <d v="2025-10-15T00:00:00"/>
    <n v="0"/>
    <x v="0"/>
    <s v="No"/>
    <s v="Will pay next week"/>
    <n v="0"/>
    <s v="On Time"/>
    <s v="Low"/>
    <n v="0"/>
    <x v="1"/>
  </r>
  <r>
    <s v="CUST_0087"/>
    <x v="1"/>
    <s v="Low"/>
    <n v="30816"/>
    <n v="1500"/>
    <d v="2025-10-08T00:00:00"/>
    <d v="2025-11-07T00:00:00"/>
    <n v="30"/>
    <x v="1"/>
    <s v="No"/>
    <s v="Will clear dues soon"/>
    <n v="1"/>
    <s v="Delayed"/>
    <s v="High"/>
    <n v="0"/>
    <x v="1"/>
  </r>
  <r>
    <s v="CUST_0088"/>
    <x v="0"/>
    <s v="Low"/>
    <n v="52733"/>
    <n v="8800"/>
    <d v="2025-10-10T00:00:00"/>
    <d v="2025-10-13T00:00:00"/>
    <n v="3"/>
    <x v="3"/>
    <s v="No"/>
    <s v="No response"/>
    <n v="1"/>
    <s v="Delayed"/>
    <s v="Medium"/>
    <n v="0"/>
    <x v="3"/>
  </r>
  <r>
    <s v="CUST_0089"/>
    <x v="1"/>
    <s v="Low"/>
    <n v="22050"/>
    <n v="1300"/>
    <d v="2025-10-26T00:00:00"/>
    <d v="2025-11-25T00:00:00"/>
    <n v="30"/>
    <x v="1"/>
    <s v="No"/>
    <s v="Will pay next week"/>
    <n v="1"/>
    <s v="Delayed"/>
    <s v="High"/>
    <n v="0"/>
    <x v="1"/>
  </r>
  <r>
    <s v="CUST_0090"/>
    <x v="0"/>
    <s v="Low"/>
    <n v="53933"/>
    <n v="4500"/>
    <d v="2025-10-16T00:00:00"/>
    <d v="2025-10-16T00:00:00"/>
    <n v="0"/>
    <x v="1"/>
    <s v="No"/>
    <s v="Paid already"/>
    <n v="0"/>
    <s v="On Time"/>
    <s v="Low"/>
    <n v="0"/>
    <x v="3"/>
  </r>
  <r>
    <s v="CUST_0091"/>
    <x v="2"/>
    <s v="Low"/>
    <n v="44951"/>
    <n v="2200"/>
    <d v="2025-10-08T00:00:00"/>
    <d v="2025-10-08T00:00:00"/>
    <n v="0"/>
    <x v="1"/>
    <s v="No"/>
    <s v="Dispute on EMI amount"/>
    <n v="0"/>
    <s v="On Time"/>
    <s v="Low"/>
    <n v="0"/>
    <x v="3"/>
  </r>
  <r>
    <s v="CUST_0092"/>
    <x v="1"/>
    <s v="Medium"/>
    <n v="52413"/>
    <n v="8700"/>
    <d v="2025-10-01T00:00:00"/>
    <d v="2025-10-01T00:00:00"/>
    <n v="0"/>
    <x v="2"/>
    <s v="Yes"/>
    <s v="Paid already"/>
    <n v="0"/>
    <s v="On Time"/>
    <s v="Low"/>
    <n v="1"/>
    <x v="3"/>
  </r>
  <r>
    <s v="CUST_0093"/>
    <x v="1"/>
    <s v="Low"/>
    <n v="54801"/>
    <n v="2500"/>
    <d v="2025-10-12T00:00:00"/>
    <d v="2025-10-12T00:00:00"/>
    <n v="0"/>
    <x v="3"/>
    <s v="No"/>
    <s v="Paid already"/>
    <n v="0"/>
    <s v="On Time"/>
    <s v="Low"/>
    <n v="0"/>
    <x v="3"/>
  </r>
  <r>
    <s v="CUST_0094"/>
    <x v="0"/>
    <s v="Low"/>
    <n v="75619"/>
    <n v="3400"/>
    <d v="2025-10-05T00:00:00"/>
    <d v="2025-10-05T00:00:00"/>
    <n v="0"/>
    <x v="3"/>
    <s v="No"/>
    <s v="Will pay next week"/>
    <n v="0"/>
    <s v="On Time"/>
    <s v="Low"/>
    <n v="0"/>
    <x v="0"/>
  </r>
  <r>
    <s v="CUST_0095"/>
    <x v="1"/>
    <s v="Medium"/>
    <n v="52913"/>
    <n v="6600"/>
    <d v="2025-10-03T00:00:00"/>
    <d v="2025-10-03T00:00:00"/>
    <n v="0"/>
    <x v="3"/>
    <s v="No"/>
    <s v="Paid already"/>
    <n v="0"/>
    <s v="On Time"/>
    <s v="Low"/>
    <n v="0"/>
    <x v="3"/>
  </r>
  <r>
    <s v="CUST_0096"/>
    <x v="0"/>
    <s v="Low"/>
    <n v="60600"/>
    <n v="3600"/>
    <d v="2025-10-01T00:00:00"/>
    <d v="2025-10-01T00:00:00"/>
    <n v="0"/>
    <x v="0"/>
    <s v="No"/>
    <s v="Paid already"/>
    <n v="0"/>
    <s v="On Time"/>
    <s v="Low"/>
    <n v="0"/>
    <x v="0"/>
  </r>
  <r>
    <s v="CUST_0097"/>
    <x v="0"/>
    <s v="Medium"/>
    <n v="77775"/>
    <n v="7100"/>
    <d v="2025-10-04T00:00:00"/>
    <d v="2025-10-04T00:00:00"/>
    <n v="0"/>
    <x v="3"/>
    <s v="Yes"/>
    <s v="Dispute on EMI amount"/>
    <n v="0"/>
    <s v="On Time"/>
    <s v="Low"/>
    <n v="1"/>
    <x v="0"/>
  </r>
  <r>
    <s v="CUST_0098"/>
    <x v="0"/>
    <s v="Low"/>
    <n v="55400"/>
    <n v="3500"/>
    <d v="2025-10-08T00:00:00"/>
    <d v="2025-10-23T00:00:00"/>
    <n v="15"/>
    <x v="1"/>
    <s v="Yes"/>
    <s v="Will pay tomorrow"/>
    <n v="1"/>
    <s v="Delayed"/>
    <s v="High"/>
    <n v="1"/>
    <x v="3"/>
  </r>
  <r>
    <s v="CUST_0099"/>
    <x v="2"/>
    <s v="Low"/>
    <n v="24494"/>
    <n v="3100"/>
    <d v="2025-10-03T00:00:00"/>
    <d v="2025-10-03T00:00:00"/>
    <n v="0"/>
    <x v="3"/>
    <s v="No"/>
    <s v="Need settlement offer"/>
    <n v="0"/>
    <s v="On Time"/>
    <s v="Low"/>
    <n v="0"/>
    <x v="1"/>
  </r>
  <r>
    <s v="CUST_0100"/>
    <x v="2"/>
    <s v="Low"/>
    <n v="94691"/>
    <n v="7300"/>
    <d v="2025-10-10T00:00:00"/>
    <d v="2025-10-10T00:00:00"/>
    <n v="0"/>
    <x v="2"/>
    <s v="No"/>
    <s v="Need settlement offer"/>
    <n v="0"/>
    <s v="On Time"/>
    <s v="Low"/>
    <n v="0"/>
    <x v="2"/>
  </r>
  <r>
    <s v="CUST_0101"/>
    <x v="2"/>
    <s v="Low"/>
    <n v="63001"/>
    <n v="3300"/>
    <d v="2025-10-02T00:00:00"/>
    <d v="2025-10-02T00:00:00"/>
    <n v="0"/>
    <x v="1"/>
    <s v="Yes"/>
    <s v="Cannot pay right now"/>
    <n v="0"/>
    <s v="On Time"/>
    <s v="Low"/>
    <n v="1"/>
    <x v="0"/>
  </r>
  <r>
    <s v="CUST_0102"/>
    <x v="0"/>
    <s v="Low"/>
    <n v="87364"/>
    <n v="4600"/>
    <d v="2025-10-11T00:00:00"/>
    <d v="2025-10-11T00:00:00"/>
    <n v="0"/>
    <x v="0"/>
    <s v="No"/>
    <s v="No response"/>
    <n v="0"/>
    <s v="On Time"/>
    <s v="Low"/>
    <n v="0"/>
    <x v="2"/>
  </r>
  <r>
    <s v="CUST_0103"/>
    <x v="0"/>
    <s v="Low"/>
    <n v="65028"/>
    <n v="4300"/>
    <d v="2025-10-25T00:00:00"/>
    <d v="2025-12-09T00:00:00"/>
    <n v="45"/>
    <x v="3"/>
    <s v="No"/>
    <s v="No response"/>
    <n v="1"/>
    <s v="Delayed"/>
    <s v="High"/>
    <n v="0"/>
    <x v="0"/>
  </r>
  <r>
    <s v="CUST_0104"/>
    <x v="0"/>
    <s v="Low"/>
    <n v="57573"/>
    <n v="8200"/>
    <d v="2025-10-10T00:00:00"/>
    <d v="2025-10-10T00:00:00"/>
    <n v="0"/>
    <x v="2"/>
    <s v="Yes"/>
    <s v="Cannot pay right now"/>
    <n v="0"/>
    <s v="On Time"/>
    <s v="Low"/>
    <n v="1"/>
    <x v="3"/>
  </r>
  <r>
    <s v="CUST_0105"/>
    <x v="1"/>
    <s v="Low"/>
    <n v="20806"/>
    <n v="1100"/>
    <d v="2025-10-21T00:00:00"/>
    <d v="2025-10-28T00:00:00"/>
    <n v="7"/>
    <x v="2"/>
    <s v="No"/>
    <s v="Will pay tomorrow"/>
    <n v="1"/>
    <s v="Delayed"/>
    <s v="Medium"/>
    <n v="0"/>
    <x v="1"/>
  </r>
  <r>
    <s v="CUST_0106"/>
    <x v="0"/>
    <s v="Low"/>
    <n v="76638"/>
    <n v="5500"/>
    <d v="2025-10-14T00:00:00"/>
    <d v="2025-11-28T00:00:00"/>
    <n v="45"/>
    <x v="3"/>
    <s v="No"/>
    <s v="Need settlement offer"/>
    <n v="1"/>
    <s v="Delayed"/>
    <s v="High"/>
    <n v="0"/>
    <x v="0"/>
  </r>
  <r>
    <s v="CUST_0107"/>
    <x v="0"/>
    <s v="Low"/>
    <n v="49757"/>
    <n v="6200"/>
    <d v="2025-10-07T00:00:00"/>
    <d v="2025-10-22T00:00:00"/>
    <n v="15"/>
    <x v="3"/>
    <s v="No"/>
    <s v="Please stop calling"/>
    <n v="1"/>
    <s v="Delayed"/>
    <s v="High"/>
    <n v="0"/>
    <x v="3"/>
  </r>
  <r>
    <s v="CUST_0108"/>
    <x v="1"/>
    <s v="Low"/>
    <n v="54636"/>
    <n v="4200"/>
    <d v="2025-10-27T00:00:00"/>
    <d v="2025-10-30T00:00:00"/>
    <n v="3"/>
    <x v="2"/>
    <s v="No"/>
    <s v="Lost my job, need more time"/>
    <n v="1"/>
    <s v="Delayed"/>
    <s v="Medium"/>
    <n v="0"/>
    <x v="3"/>
  </r>
  <r>
    <s v="CUST_0109"/>
    <x v="0"/>
    <s v="Medium"/>
    <n v="68280"/>
    <n v="3300"/>
    <d v="2025-10-27T00:00:00"/>
    <d v="2025-11-11T00:00:00"/>
    <n v="15"/>
    <x v="2"/>
    <s v="Yes"/>
    <s v="Will pay tomorrow"/>
    <n v="1"/>
    <s v="Delayed"/>
    <s v="High"/>
    <n v="1"/>
    <x v="0"/>
  </r>
  <r>
    <s v="CUST_0110"/>
    <x v="2"/>
    <s v="Medium"/>
    <n v="44262"/>
    <n v="6300"/>
    <d v="2025-10-02T00:00:00"/>
    <d v="2025-12-01T00:00:00"/>
    <n v="60"/>
    <x v="1"/>
    <s v="No"/>
    <s v="Please stop calling"/>
    <n v="1"/>
    <s v="Delayed"/>
    <s v="High"/>
    <n v="0"/>
    <x v="3"/>
  </r>
  <r>
    <s v="CUST_0111"/>
    <x v="0"/>
    <s v="Low"/>
    <n v="82211"/>
    <n v="7500"/>
    <d v="2025-10-09T00:00:00"/>
    <d v="2025-10-12T00:00:00"/>
    <n v="3"/>
    <x v="2"/>
    <s v="No"/>
    <s v="Cannot pay right now"/>
    <n v="1"/>
    <s v="Delayed"/>
    <s v="Medium"/>
    <n v="0"/>
    <x v="2"/>
  </r>
  <r>
    <s v="CUST_0112"/>
    <x v="2"/>
    <s v="Medium"/>
    <n v="74842"/>
    <n v="4400"/>
    <d v="2025-10-16T00:00:00"/>
    <d v="2025-10-19T00:00:00"/>
    <n v="3"/>
    <x v="2"/>
    <s v="No"/>
    <s v="Cannot pay right now"/>
    <n v="1"/>
    <s v="Delayed"/>
    <s v="Medium"/>
    <n v="0"/>
    <x v="0"/>
  </r>
  <r>
    <s v="CUST_0113"/>
    <x v="1"/>
    <s v="Medium"/>
    <n v="76979"/>
    <n v="7700"/>
    <d v="2025-10-13T00:00:00"/>
    <d v="2025-10-16T00:00:00"/>
    <n v="3"/>
    <x v="2"/>
    <s v="No"/>
    <s v="Will clear dues soon"/>
    <n v="1"/>
    <s v="Delayed"/>
    <s v="Medium"/>
    <n v="0"/>
    <x v="0"/>
  </r>
  <r>
    <s v="CUST_0114"/>
    <x v="1"/>
    <s v="Low"/>
    <n v="58197"/>
    <n v="8300"/>
    <d v="2025-10-09T00:00:00"/>
    <d v="2025-10-09T00:00:00"/>
    <n v="0"/>
    <x v="1"/>
    <s v="No"/>
    <s v="Please stop calling"/>
    <n v="0"/>
    <s v="On Time"/>
    <s v="Low"/>
    <n v="0"/>
    <x v="3"/>
  </r>
  <r>
    <s v="CUST_0115"/>
    <x v="0"/>
    <s v="Medium"/>
    <n v="61844"/>
    <n v="2900"/>
    <d v="2025-10-20T00:00:00"/>
    <d v="2025-10-23T00:00:00"/>
    <n v="3"/>
    <x v="0"/>
    <s v="No"/>
    <s v="Will pay next week"/>
    <n v="1"/>
    <s v="Delayed"/>
    <s v="Medium"/>
    <n v="0"/>
    <x v="0"/>
  </r>
  <r>
    <s v="CUST_0116"/>
    <x v="1"/>
    <s v="High"/>
    <n v="84754"/>
    <n v="8500"/>
    <d v="2025-10-04T00:00:00"/>
    <d v="2025-10-04T00:00:00"/>
    <n v="0"/>
    <x v="2"/>
    <s v="No"/>
    <s v="Need settlement offer"/>
    <n v="0"/>
    <s v="On Time"/>
    <s v="Low"/>
    <n v="0"/>
    <x v="2"/>
  </r>
  <r>
    <s v="CUST_0117"/>
    <x v="1"/>
    <s v="Low"/>
    <n v="54157"/>
    <n v="2700"/>
    <d v="2025-10-22T00:00:00"/>
    <d v="2025-10-22T00:00:00"/>
    <n v="0"/>
    <x v="1"/>
    <s v="No"/>
    <s v="Please stop calling"/>
    <n v="0"/>
    <s v="On Time"/>
    <s v="Low"/>
    <n v="0"/>
    <x v="3"/>
  </r>
  <r>
    <s v="CUST_0118"/>
    <x v="2"/>
    <s v="Low"/>
    <n v="97129"/>
    <n v="5700"/>
    <d v="2025-10-10T00:00:00"/>
    <d v="2025-10-10T00:00:00"/>
    <n v="0"/>
    <x v="3"/>
    <s v="No"/>
    <s v="Cannot pay right now"/>
    <n v="0"/>
    <s v="On Time"/>
    <s v="Low"/>
    <n v="0"/>
    <x v="2"/>
  </r>
  <r>
    <s v="CUST_0119"/>
    <x v="1"/>
    <s v="Medium"/>
    <n v="60042"/>
    <n v="6700"/>
    <d v="2025-10-26T00:00:00"/>
    <d v="2025-10-26T00:00:00"/>
    <n v="0"/>
    <x v="2"/>
    <s v="No"/>
    <s v="Cannot pay right now"/>
    <n v="0"/>
    <s v="On Time"/>
    <s v="Low"/>
    <n v="0"/>
    <x v="0"/>
  </r>
  <r>
    <s v="CUST_0120"/>
    <x v="0"/>
    <s v="Medium"/>
    <n v="81665"/>
    <n v="4100"/>
    <d v="2025-10-26T00:00:00"/>
    <d v="2025-10-26T00:00:00"/>
    <n v="0"/>
    <x v="3"/>
    <s v="No"/>
    <s v="Lost my job, need more time"/>
    <n v="0"/>
    <s v="On Time"/>
    <s v="Low"/>
    <n v="0"/>
    <x v="2"/>
  </r>
  <r>
    <s v="CUST_0121"/>
    <x v="1"/>
    <s v="Low"/>
    <n v="47376"/>
    <n v="3000"/>
    <d v="2025-10-22T00:00:00"/>
    <d v="2025-10-22T00:00:00"/>
    <n v="0"/>
    <x v="2"/>
    <s v="Yes"/>
    <s v="Dispute on EMI amount"/>
    <n v="0"/>
    <s v="On Time"/>
    <s v="Low"/>
    <n v="1"/>
    <x v="3"/>
  </r>
  <r>
    <s v="CUST_0122"/>
    <x v="1"/>
    <s v="Low"/>
    <n v="75554"/>
    <n v="3600"/>
    <d v="2025-10-12T00:00:00"/>
    <d v="2025-10-15T00:00:00"/>
    <n v="3"/>
    <x v="1"/>
    <s v="Yes"/>
    <s v="Will pay tomorrow"/>
    <n v="1"/>
    <s v="Delayed"/>
    <s v="Medium"/>
    <n v="1"/>
    <x v="0"/>
  </r>
  <r>
    <s v="CUST_0123"/>
    <x v="0"/>
    <s v="Low"/>
    <n v="34199"/>
    <n v="3100"/>
    <d v="2025-10-17T00:00:00"/>
    <d v="2025-10-17T00:00:00"/>
    <n v="0"/>
    <x v="0"/>
    <s v="No"/>
    <s v="Will clear dues soon"/>
    <n v="0"/>
    <s v="On Time"/>
    <s v="Low"/>
    <n v="0"/>
    <x v="1"/>
  </r>
  <r>
    <s v="CUST_0124"/>
    <x v="2"/>
    <s v="Low"/>
    <n v="70948"/>
    <n v="3700"/>
    <d v="2025-10-14T00:00:00"/>
    <d v="2025-10-29T00:00:00"/>
    <n v="15"/>
    <x v="3"/>
    <s v="No"/>
    <s v="Cannot pay right now"/>
    <n v="1"/>
    <s v="Delayed"/>
    <s v="High"/>
    <n v="0"/>
    <x v="0"/>
  </r>
  <r>
    <s v="CUST_0125"/>
    <x v="0"/>
    <s v="Medium"/>
    <n v="93781"/>
    <n v="4100"/>
    <d v="2025-10-14T00:00:00"/>
    <d v="2025-10-14T00:00:00"/>
    <n v="0"/>
    <x v="1"/>
    <s v="No"/>
    <s v="Lost my job, need more time"/>
    <n v="0"/>
    <s v="On Time"/>
    <s v="Low"/>
    <n v="0"/>
    <x v="2"/>
  </r>
  <r>
    <s v="CUST_0126"/>
    <x v="0"/>
    <s v="Low"/>
    <n v="92750"/>
    <n v="5500"/>
    <d v="2025-10-25T00:00:00"/>
    <d v="2025-10-25T00:00:00"/>
    <n v="0"/>
    <x v="2"/>
    <s v="No"/>
    <s v="Dispute on EMI amount"/>
    <n v="0"/>
    <s v="On Time"/>
    <s v="Low"/>
    <n v="0"/>
    <x v="2"/>
  </r>
  <r>
    <s v="CUST_0127"/>
    <x v="1"/>
    <s v="Low"/>
    <n v="86262"/>
    <n v="5400"/>
    <d v="2025-10-02T00:00:00"/>
    <d v="2025-10-09T00:00:00"/>
    <n v="7"/>
    <x v="3"/>
    <s v="No"/>
    <s v="Will pay next week"/>
    <n v="1"/>
    <s v="Delayed"/>
    <s v="Medium"/>
    <n v="0"/>
    <x v="2"/>
  </r>
  <r>
    <s v="CUST_0128"/>
    <x v="1"/>
    <s v="Medium"/>
    <n v="66600"/>
    <n v="3700"/>
    <d v="2025-10-21T00:00:00"/>
    <d v="2025-10-24T00:00:00"/>
    <n v="3"/>
    <x v="3"/>
    <s v="Yes"/>
    <s v="Will pay tomorrow"/>
    <n v="1"/>
    <s v="Delayed"/>
    <s v="Medium"/>
    <n v="1"/>
    <x v="0"/>
  </r>
  <r>
    <s v="CUST_0129"/>
    <x v="2"/>
    <s v="Low"/>
    <n v="96898"/>
    <n v="6100"/>
    <d v="2025-10-25T00:00:00"/>
    <d v="2025-10-25T00:00:00"/>
    <n v="0"/>
    <x v="3"/>
    <s v="No"/>
    <s v="No response"/>
    <n v="0"/>
    <s v="On Time"/>
    <s v="Low"/>
    <n v="0"/>
    <x v="2"/>
  </r>
  <r>
    <s v="CUST_0130"/>
    <x v="0"/>
    <s v="Low"/>
    <n v="82483"/>
    <n v="3900"/>
    <d v="2025-10-20T00:00:00"/>
    <d v="2025-11-19T00:00:00"/>
    <n v="30"/>
    <x v="3"/>
    <s v="No"/>
    <s v="Dispute on EMI amount"/>
    <n v="1"/>
    <s v="Delayed"/>
    <s v="High"/>
    <n v="0"/>
    <x v="2"/>
  </r>
  <r>
    <s v="CUST_0131"/>
    <x v="0"/>
    <s v="Medium"/>
    <n v="38297"/>
    <n v="1900"/>
    <d v="2025-10-11T00:00:00"/>
    <d v="2025-11-10T00:00:00"/>
    <n v="30"/>
    <x v="3"/>
    <s v="No"/>
    <s v="Please stop calling"/>
    <n v="1"/>
    <s v="Delayed"/>
    <s v="High"/>
    <n v="0"/>
    <x v="1"/>
  </r>
  <r>
    <s v="CUST_0132"/>
    <x v="0"/>
    <s v="Medium"/>
    <n v="50448"/>
    <n v="2500"/>
    <d v="2025-10-16T00:00:00"/>
    <d v="2025-10-16T00:00:00"/>
    <n v="0"/>
    <x v="3"/>
    <s v="Yes"/>
    <s v="No response"/>
    <n v="0"/>
    <s v="On Time"/>
    <s v="Low"/>
    <n v="1"/>
    <x v="3"/>
  </r>
  <r>
    <s v="CUST_0133"/>
    <x v="2"/>
    <s v="Medium"/>
    <n v="46172"/>
    <n v="5100"/>
    <d v="2025-10-19T00:00:00"/>
    <d v="2025-10-19T00:00:00"/>
    <n v="0"/>
    <x v="3"/>
    <s v="No"/>
    <s v="Paid already"/>
    <n v="0"/>
    <s v="On Time"/>
    <s v="Low"/>
    <n v="0"/>
    <x v="3"/>
  </r>
  <r>
    <s v="CUST_0134"/>
    <x v="0"/>
    <s v="Medium"/>
    <n v="62874"/>
    <n v="3900"/>
    <d v="2025-10-23T00:00:00"/>
    <d v="2025-12-22T00:00:00"/>
    <n v="60"/>
    <x v="1"/>
    <s v="No"/>
    <s v="Please stop calling"/>
    <n v="1"/>
    <s v="Delayed"/>
    <s v="High"/>
    <n v="0"/>
    <x v="0"/>
  </r>
  <r>
    <s v="CUST_0135"/>
    <x v="1"/>
    <s v="Low"/>
    <n v="27657"/>
    <n v="1400"/>
    <d v="2025-10-06T00:00:00"/>
    <d v="2025-10-09T00:00:00"/>
    <n v="3"/>
    <x v="2"/>
    <s v="No"/>
    <s v="Please stop calling"/>
    <n v="1"/>
    <s v="Delayed"/>
    <s v="Medium"/>
    <n v="0"/>
    <x v="1"/>
  </r>
  <r>
    <s v="CUST_0136"/>
    <x v="0"/>
    <s v="Low"/>
    <n v="45425"/>
    <n v="5000"/>
    <d v="2025-10-24T00:00:00"/>
    <d v="2025-10-24T00:00:00"/>
    <n v="0"/>
    <x v="0"/>
    <s v="No"/>
    <s v="Dispute on EMI amount"/>
    <n v="0"/>
    <s v="On Time"/>
    <s v="Low"/>
    <n v="0"/>
    <x v="3"/>
  </r>
  <r>
    <s v="CUST_0137"/>
    <x v="0"/>
    <s v="Medium"/>
    <n v="46685"/>
    <n v="2600"/>
    <d v="2025-10-19T00:00:00"/>
    <d v="2025-11-03T00:00:00"/>
    <n v="15"/>
    <x v="2"/>
    <s v="No"/>
    <s v="Lost my job, need more time"/>
    <n v="1"/>
    <s v="Delayed"/>
    <s v="High"/>
    <n v="0"/>
    <x v="3"/>
  </r>
  <r>
    <s v="CUST_0138"/>
    <x v="1"/>
    <s v="Low"/>
    <n v="44578"/>
    <n v="6400"/>
    <d v="2025-10-05T00:00:00"/>
    <d v="2025-10-05T00:00:00"/>
    <n v="0"/>
    <x v="1"/>
    <s v="Yes"/>
    <s v="Please stop calling"/>
    <n v="0"/>
    <s v="On Time"/>
    <s v="Low"/>
    <n v="1"/>
    <x v="3"/>
  </r>
  <r>
    <s v="CUST_0139"/>
    <x v="0"/>
    <s v="Low"/>
    <n v="48831"/>
    <n v="2600"/>
    <d v="2025-10-26T00:00:00"/>
    <d v="2025-10-26T00:00:00"/>
    <n v="0"/>
    <x v="0"/>
    <s v="No"/>
    <s v="Need settlement offer"/>
    <n v="0"/>
    <s v="On Time"/>
    <s v="Low"/>
    <n v="0"/>
    <x v="3"/>
  </r>
  <r>
    <s v="CUST_0140"/>
    <x v="1"/>
    <s v="Low"/>
    <n v="27906"/>
    <n v="3100"/>
    <d v="2025-10-04T00:00:00"/>
    <d v="2025-10-04T00:00:00"/>
    <n v="0"/>
    <x v="1"/>
    <s v="No"/>
    <s v="Lost my job, need more time"/>
    <n v="0"/>
    <s v="On Time"/>
    <s v="Low"/>
    <n v="0"/>
    <x v="1"/>
  </r>
  <r>
    <s v="CUST_0141"/>
    <x v="1"/>
    <s v="Low"/>
    <n v="81413"/>
    <n v="3900"/>
    <d v="2025-10-15T00:00:00"/>
    <d v="2025-10-22T00:00:00"/>
    <n v="7"/>
    <x v="2"/>
    <s v="No"/>
    <s v="Dispute on EMI amount"/>
    <n v="1"/>
    <s v="Delayed"/>
    <s v="Medium"/>
    <n v="0"/>
    <x v="2"/>
  </r>
  <r>
    <s v="CUST_0142"/>
    <x v="0"/>
    <s v="Low"/>
    <n v="74028"/>
    <n v="3900"/>
    <d v="2025-10-29T00:00:00"/>
    <d v="2025-11-01T00:00:00"/>
    <n v="3"/>
    <x v="1"/>
    <s v="No"/>
    <s v="Please stop calling"/>
    <n v="1"/>
    <s v="Delayed"/>
    <s v="Medium"/>
    <n v="0"/>
    <x v="0"/>
  </r>
  <r>
    <s v="CUST_0143"/>
    <x v="0"/>
    <s v="Low"/>
    <n v="27287"/>
    <n v="1400"/>
    <d v="2025-10-04T00:00:00"/>
    <d v="2025-10-07T00:00:00"/>
    <n v="3"/>
    <x v="3"/>
    <s v="No"/>
    <s v="Please stop calling"/>
    <n v="1"/>
    <s v="Delayed"/>
    <s v="Medium"/>
    <n v="0"/>
    <x v="1"/>
  </r>
  <r>
    <s v="CUST_0144"/>
    <x v="0"/>
    <s v="Low"/>
    <n v="53660"/>
    <n v="6700"/>
    <d v="2025-10-20T00:00:00"/>
    <d v="2025-10-20T00:00:00"/>
    <n v="0"/>
    <x v="3"/>
    <s v="No"/>
    <s v="No response"/>
    <n v="0"/>
    <s v="On Time"/>
    <s v="Low"/>
    <n v="0"/>
    <x v="3"/>
  </r>
  <r>
    <s v="CUST_0145"/>
    <x v="0"/>
    <s v="Low"/>
    <n v="95758"/>
    <n v="7400"/>
    <d v="2025-10-10T00:00:00"/>
    <d v="2025-10-10T00:00:00"/>
    <n v="0"/>
    <x v="2"/>
    <s v="No"/>
    <s v="Will pay next week"/>
    <n v="0"/>
    <s v="On Time"/>
    <s v="Low"/>
    <n v="0"/>
    <x v="2"/>
  </r>
  <r>
    <s v="CUST_0146"/>
    <x v="2"/>
    <s v="Medium"/>
    <n v="80504"/>
    <n v="3800"/>
    <d v="2025-10-24T00:00:00"/>
    <d v="2025-10-24T00:00:00"/>
    <n v="0"/>
    <x v="2"/>
    <s v="No"/>
    <s v="Paid already"/>
    <n v="0"/>
    <s v="On Time"/>
    <s v="Low"/>
    <n v="0"/>
    <x v="2"/>
  </r>
  <r>
    <s v="CUST_0147"/>
    <x v="0"/>
    <s v="Medium"/>
    <n v="79720"/>
    <n v="5300"/>
    <d v="2025-10-22T00:00:00"/>
    <d v="2025-10-29T00:00:00"/>
    <n v="7"/>
    <x v="3"/>
    <s v="No"/>
    <s v="Lost my job, need more time"/>
    <n v="1"/>
    <s v="Delayed"/>
    <s v="Medium"/>
    <n v="0"/>
    <x v="0"/>
  </r>
  <r>
    <s v="CUST_0148"/>
    <x v="0"/>
    <s v="Medium"/>
    <n v="54701"/>
    <n v="6100"/>
    <d v="2025-10-03T00:00:00"/>
    <d v="2025-10-03T00:00:00"/>
    <n v="0"/>
    <x v="0"/>
    <s v="Yes"/>
    <s v="Will pay tomorrow"/>
    <n v="0"/>
    <s v="On Time"/>
    <s v="Low"/>
    <n v="1"/>
    <x v="3"/>
  </r>
  <r>
    <s v="CUST_0149"/>
    <x v="2"/>
    <s v="Medium"/>
    <n v="37674"/>
    <n v="1600"/>
    <d v="2025-10-26T00:00:00"/>
    <d v="2025-10-26T00:00:00"/>
    <n v="0"/>
    <x v="1"/>
    <s v="No"/>
    <s v="Lost my job, need more time"/>
    <n v="0"/>
    <s v="On Time"/>
    <s v="Low"/>
    <n v="0"/>
    <x v="1"/>
  </r>
  <r>
    <s v="CUST_0150"/>
    <x v="0"/>
    <s v="Low"/>
    <n v="43874"/>
    <n v="6300"/>
    <d v="2025-10-05T00:00:00"/>
    <d v="2025-10-20T00:00:00"/>
    <n v="15"/>
    <x v="2"/>
    <s v="No"/>
    <s v="No response"/>
    <n v="1"/>
    <s v="Delayed"/>
    <s v="High"/>
    <n v="0"/>
    <x v="3"/>
  </r>
  <r>
    <s v="CUST_0151"/>
    <x v="1"/>
    <s v="Low"/>
    <n v="63642"/>
    <n v="2900"/>
    <d v="2025-10-06T00:00:00"/>
    <d v="2025-10-06T00:00:00"/>
    <n v="0"/>
    <x v="0"/>
    <s v="No"/>
    <s v="No response"/>
    <n v="0"/>
    <s v="On Time"/>
    <s v="Low"/>
    <n v="0"/>
    <x v="0"/>
  </r>
  <r>
    <s v="CUST_0152"/>
    <x v="0"/>
    <s v="Medium"/>
    <n v="85160"/>
    <n v="4700"/>
    <d v="2025-10-21T00:00:00"/>
    <d v="2025-12-05T00:00:00"/>
    <n v="45"/>
    <x v="2"/>
    <s v="No"/>
    <s v="Need settlement offer"/>
    <n v="1"/>
    <s v="Delayed"/>
    <s v="High"/>
    <n v="0"/>
    <x v="2"/>
  </r>
  <r>
    <s v="CUST_0153"/>
    <x v="2"/>
    <s v="Medium"/>
    <n v="37602"/>
    <n v="4200"/>
    <d v="2025-10-22T00:00:00"/>
    <d v="2025-10-22T00:00:00"/>
    <n v="0"/>
    <x v="0"/>
    <s v="No"/>
    <s v="Dispute on EMI amount"/>
    <n v="0"/>
    <s v="On Time"/>
    <s v="Low"/>
    <n v="0"/>
    <x v="1"/>
  </r>
  <r>
    <s v="CUST_0154"/>
    <x v="0"/>
    <s v="Medium"/>
    <n v="45931"/>
    <n v="2900"/>
    <d v="2025-10-08T00:00:00"/>
    <d v="2025-10-11T00:00:00"/>
    <n v="3"/>
    <x v="2"/>
    <s v="No"/>
    <s v="Will pay tomorrow"/>
    <n v="1"/>
    <s v="Delayed"/>
    <s v="Medium"/>
    <n v="0"/>
    <x v="3"/>
  </r>
  <r>
    <s v="CUST_0155"/>
    <x v="1"/>
    <s v="Low"/>
    <n v="49192"/>
    <n v="4100"/>
    <d v="2025-10-07T00:00:00"/>
    <d v="2025-10-07T00:00:00"/>
    <n v="0"/>
    <x v="3"/>
    <s v="Yes"/>
    <s v="Will pay tomorrow"/>
    <n v="0"/>
    <s v="On Time"/>
    <s v="Low"/>
    <n v="1"/>
    <x v="3"/>
  </r>
  <r>
    <s v="CUST_0156"/>
    <x v="0"/>
    <s v="Low"/>
    <n v="66542"/>
    <n v="3900"/>
    <d v="2025-10-21T00:00:00"/>
    <d v="2025-11-20T00:00:00"/>
    <n v="30"/>
    <x v="1"/>
    <s v="No"/>
    <s v="Paid already"/>
    <n v="1"/>
    <s v="Delayed"/>
    <s v="High"/>
    <n v="0"/>
    <x v="0"/>
  </r>
  <r>
    <s v="CUST_0157"/>
    <x v="0"/>
    <s v="Low"/>
    <n v="62520"/>
    <n v="4200"/>
    <d v="2025-10-10T00:00:00"/>
    <d v="2025-10-10T00:00:00"/>
    <n v="0"/>
    <x v="1"/>
    <s v="No"/>
    <s v="Dispute on EMI amount"/>
    <n v="0"/>
    <s v="On Time"/>
    <s v="Low"/>
    <n v="0"/>
    <x v="0"/>
  </r>
  <r>
    <s v="CUST_0158"/>
    <x v="1"/>
    <s v="Low"/>
    <n v="84772"/>
    <n v="7100"/>
    <d v="2025-10-06T00:00:00"/>
    <d v="2025-10-06T00:00:00"/>
    <n v="0"/>
    <x v="1"/>
    <s v="No"/>
    <s v="Will clear dues soon"/>
    <n v="0"/>
    <s v="On Time"/>
    <s v="Low"/>
    <n v="0"/>
    <x v="2"/>
  </r>
  <r>
    <s v="CUST_0159"/>
    <x v="0"/>
    <s v="Medium"/>
    <n v="78762"/>
    <n v="4400"/>
    <d v="2025-10-14T00:00:00"/>
    <d v="2025-10-14T00:00:00"/>
    <n v="0"/>
    <x v="0"/>
    <s v="No"/>
    <s v="No response"/>
    <n v="0"/>
    <s v="On Time"/>
    <s v="Low"/>
    <n v="0"/>
    <x v="0"/>
  </r>
  <r>
    <s v="CUST_0160"/>
    <x v="1"/>
    <s v="Medium"/>
    <n v="70106"/>
    <n v="5800"/>
    <d v="2025-10-04T00:00:00"/>
    <d v="2025-10-04T00:00:00"/>
    <n v="0"/>
    <x v="1"/>
    <s v="Yes"/>
    <s v="Will pay tomorrow"/>
    <n v="0"/>
    <s v="On Time"/>
    <s v="Low"/>
    <n v="1"/>
    <x v="0"/>
  </r>
  <r>
    <s v="CUST_0161"/>
    <x v="0"/>
    <s v="Low"/>
    <n v="45559"/>
    <n v="2100"/>
    <d v="2025-10-28T00:00:00"/>
    <d v="2025-10-28T00:00:00"/>
    <n v="0"/>
    <x v="1"/>
    <s v="Yes"/>
    <s v="Will pay next week"/>
    <n v="0"/>
    <s v="On Time"/>
    <s v="Low"/>
    <n v="1"/>
    <x v="3"/>
  </r>
  <r>
    <s v="CUST_0162"/>
    <x v="0"/>
    <s v="High"/>
    <n v="53742"/>
    <n v="3600"/>
    <d v="2025-10-25T00:00:00"/>
    <d v="2025-12-09T00:00:00"/>
    <n v="45"/>
    <x v="0"/>
    <s v="No"/>
    <s v="Will pay tomorrow"/>
    <n v="1"/>
    <s v="Delayed"/>
    <s v="High"/>
    <n v="0"/>
    <x v="3"/>
  </r>
  <r>
    <s v="CUST_0163"/>
    <x v="0"/>
    <s v="Medium"/>
    <n v="89669"/>
    <n v="6000"/>
    <d v="2025-10-13T00:00:00"/>
    <d v="2025-10-13T00:00:00"/>
    <n v="0"/>
    <x v="1"/>
    <s v="No"/>
    <s v="Cannot pay right now"/>
    <n v="0"/>
    <s v="On Time"/>
    <s v="Low"/>
    <n v="0"/>
    <x v="2"/>
  </r>
  <r>
    <s v="CUST_0164"/>
    <x v="0"/>
    <s v="Low"/>
    <n v="41754"/>
    <n v="4600"/>
    <d v="2025-10-20T00:00:00"/>
    <d v="2025-10-27T00:00:00"/>
    <n v="7"/>
    <x v="2"/>
    <s v="No"/>
    <s v="Cannot pay right now"/>
    <n v="1"/>
    <s v="Delayed"/>
    <s v="Medium"/>
    <n v="0"/>
    <x v="1"/>
  </r>
  <r>
    <s v="CUST_0165"/>
    <x v="2"/>
    <s v="Low"/>
    <n v="23972"/>
    <n v="2700"/>
    <d v="2025-10-17T00:00:00"/>
    <d v="2025-10-20T00:00:00"/>
    <n v="3"/>
    <x v="0"/>
    <s v="No"/>
    <s v="Paid already"/>
    <n v="1"/>
    <s v="Delayed"/>
    <s v="Medium"/>
    <n v="0"/>
    <x v="1"/>
  </r>
  <r>
    <s v="CUST_0166"/>
    <x v="1"/>
    <s v="Low"/>
    <n v="90831"/>
    <n v="7600"/>
    <d v="2025-10-23T00:00:00"/>
    <d v="2025-10-26T00:00:00"/>
    <n v="3"/>
    <x v="3"/>
    <s v="No"/>
    <s v="Will pay tomorrow"/>
    <n v="1"/>
    <s v="Delayed"/>
    <s v="Medium"/>
    <n v="0"/>
    <x v="2"/>
  </r>
  <r>
    <s v="CUST_0167"/>
    <x v="0"/>
    <s v="Low"/>
    <n v="61873"/>
    <n v="10300"/>
    <d v="2025-10-07T00:00:00"/>
    <d v="2025-10-07T00:00:00"/>
    <n v="0"/>
    <x v="1"/>
    <s v="No"/>
    <s v="Will pay tomorrow"/>
    <n v="0"/>
    <s v="On Time"/>
    <s v="Low"/>
    <n v="0"/>
    <x v="0"/>
  </r>
  <r>
    <s v="CUST_0168"/>
    <x v="2"/>
    <s v="Low"/>
    <n v="29903"/>
    <n v="1800"/>
    <d v="2025-10-04T00:00:00"/>
    <d v="2025-10-04T00:00:00"/>
    <n v="0"/>
    <x v="0"/>
    <s v="No"/>
    <s v="Paid already"/>
    <n v="0"/>
    <s v="On Time"/>
    <s v="Low"/>
    <n v="0"/>
    <x v="1"/>
  </r>
  <r>
    <s v="CUST_0169"/>
    <x v="2"/>
    <s v="Low"/>
    <n v="23020"/>
    <n v="1300"/>
    <d v="2025-10-29T00:00:00"/>
    <d v="2025-11-05T00:00:00"/>
    <n v="7"/>
    <x v="1"/>
    <s v="No"/>
    <s v="Will pay next week"/>
    <n v="1"/>
    <s v="Delayed"/>
    <s v="Medium"/>
    <n v="0"/>
    <x v="1"/>
  </r>
  <r>
    <s v="CUST_0170"/>
    <x v="0"/>
    <s v="Low"/>
    <n v="61755"/>
    <n v="4100"/>
    <d v="2025-10-14T00:00:00"/>
    <d v="2025-11-28T00:00:00"/>
    <n v="45"/>
    <x v="1"/>
    <s v="No"/>
    <s v="Will pay next week"/>
    <n v="1"/>
    <s v="Delayed"/>
    <s v="High"/>
    <n v="0"/>
    <x v="0"/>
  </r>
  <r>
    <s v="CUST_0171"/>
    <x v="0"/>
    <s v="Low"/>
    <n v="65648"/>
    <n v="3300"/>
    <d v="2025-10-03T00:00:00"/>
    <d v="2025-10-03T00:00:00"/>
    <n v="0"/>
    <x v="1"/>
    <s v="No"/>
    <s v="No response"/>
    <n v="0"/>
    <s v="On Time"/>
    <s v="Low"/>
    <n v="0"/>
    <x v="0"/>
  </r>
  <r>
    <s v="CUST_0172"/>
    <x v="2"/>
    <s v="Medium"/>
    <n v="29516"/>
    <n v="1600"/>
    <d v="2025-10-24T00:00:00"/>
    <d v="2025-10-24T00:00:00"/>
    <n v="0"/>
    <x v="2"/>
    <s v="Yes"/>
    <s v="Will clear dues soon"/>
    <n v="0"/>
    <s v="On Time"/>
    <s v="Low"/>
    <n v="1"/>
    <x v="1"/>
  </r>
  <r>
    <s v="CUST_0173"/>
    <x v="0"/>
    <s v="Low"/>
    <n v="22396"/>
    <n v="1600"/>
    <d v="2025-10-05T00:00:00"/>
    <d v="2025-10-05T00:00:00"/>
    <n v="0"/>
    <x v="0"/>
    <s v="No"/>
    <s v="Will pay next week"/>
    <n v="0"/>
    <s v="On Time"/>
    <s v="Low"/>
    <n v="0"/>
    <x v="1"/>
  </r>
  <r>
    <s v="CUST_0174"/>
    <x v="0"/>
    <s v="Medium"/>
    <n v="39129"/>
    <n v="2800"/>
    <d v="2025-10-16T00:00:00"/>
    <d v="2025-12-15T00:00:00"/>
    <n v="60"/>
    <x v="3"/>
    <s v="No"/>
    <s v="Paid already"/>
    <n v="1"/>
    <s v="Delayed"/>
    <s v="High"/>
    <n v="0"/>
    <x v="1"/>
  </r>
  <r>
    <s v="CUST_0175"/>
    <x v="0"/>
    <s v="Low"/>
    <n v="21591"/>
    <n v="1100"/>
    <d v="2025-10-26T00:00:00"/>
    <d v="2025-10-26T00:00:00"/>
    <n v="0"/>
    <x v="3"/>
    <s v="No"/>
    <s v="Need settlement offer"/>
    <n v="0"/>
    <s v="On Time"/>
    <s v="Low"/>
    <n v="0"/>
    <x v="1"/>
  </r>
  <r>
    <s v="CUST_0176"/>
    <x v="2"/>
    <s v="High"/>
    <n v="31303"/>
    <n v="2100"/>
    <d v="2025-10-23T00:00:00"/>
    <d v="2025-10-23T00:00:00"/>
    <n v="0"/>
    <x v="3"/>
    <s v="No"/>
    <s v="Need settlement offer"/>
    <n v="0"/>
    <s v="On Time"/>
    <s v="Low"/>
    <n v="0"/>
    <x v="1"/>
  </r>
  <r>
    <s v="CUST_0177"/>
    <x v="0"/>
    <s v="Low"/>
    <n v="50561"/>
    <n v="3400"/>
    <d v="2025-10-20T00:00:00"/>
    <d v="2025-11-19T00:00:00"/>
    <n v="30"/>
    <x v="2"/>
    <s v="No"/>
    <s v="Cannot pay right now"/>
    <n v="1"/>
    <s v="Delayed"/>
    <s v="High"/>
    <n v="0"/>
    <x v="3"/>
  </r>
  <r>
    <s v="CUST_0178"/>
    <x v="0"/>
    <s v="Low"/>
    <n v="91719"/>
    <n v="7100"/>
    <d v="2025-10-04T00:00:00"/>
    <d v="2025-10-04T00:00:00"/>
    <n v="0"/>
    <x v="2"/>
    <s v="No"/>
    <s v="Will pay next week"/>
    <n v="0"/>
    <s v="On Time"/>
    <s v="Low"/>
    <n v="0"/>
    <x v="2"/>
  </r>
  <r>
    <s v="CUST_0179"/>
    <x v="1"/>
    <s v="High"/>
    <n v="27314"/>
    <n v="1300"/>
    <d v="2025-10-24T00:00:00"/>
    <d v="2025-10-24T00:00:00"/>
    <n v="0"/>
    <x v="1"/>
    <s v="Yes"/>
    <s v="Paid already"/>
    <n v="0"/>
    <s v="On Time"/>
    <s v="Low"/>
    <n v="1"/>
    <x v="1"/>
  </r>
  <r>
    <s v="CUST_0180"/>
    <x v="2"/>
    <s v="Medium"/>
    <n v="39623"/>
    <n v="1800"/>
    <d v="2025-10-30T00:00:00"/>
    <d v="2025-11-02T00:00:00"/>
    <n v="3"/>
    <x v="2"/>
    <s v="No"/>
    <s v="Will pay next week"/>
    <n v="1"/>
    <s v="Delayed"/>
    <s v="Medium"/>
    <n v="0"/>
    <x v="1"/>
  </r>
  <r>
    <s v="CUST_0181"/>
    <x v="0"/>
    <s v="Medium"/>
    <n v="87675"/>
    <n v="8800"/>
    <d v="2025-10-24T00:00:00"/>
    <d v="2025-11-23T00:00:00"/>
    <n v="30"/>
    <x v="2"/>
    <s v="No"/>
    <s v="Cannot pay right now"/>
    <n v="1"/>
    <s v="Delayed"/>
    <s v="High"/>
    <n v="0"/>
    <x v="2"/>
  </r>
  <r>
    <s v="CUST_0182"/>
    <x v="2"/>
    <s v="Low"/>
    <n v="85082"/>
    <n v="9500"/>
    <d v="2025-10-02T00:00:00"/>
    <d v="2025-10-02T00:00:00"/>
    <n v="0"/>
    <x v="3"/>
    <s v="No"/>
    <s v="Please stop calling"/>
    <n v="0"/>
    <s v="On Time"/>
    <s v="Low"/>
    <n v="0"/>
    <x v="2"/>
  </r>
  <r>
    <s v="CUST_0183"/>
    <x v="1"/>
    <s v="Low"/>
    <n v="53130"/>
    <n v="2300"/>
    <d v="2025-10-30T00:00:00"/>
    <d v="2025-10-30T00:00:00"/>
    <n v="0"/>
    <x v="2"/>
    <s v="No"/>
    <s v="Lost my job, need more time"/>
    <n v="0"/>
    <s v="On Time"/>
    <s v="Low"/>
    <n v="0"/>
    <x v="3"/>
  </r>
  <r>
    <s v="CUST_0184"/>
    <x v="1"/>
    <s v="Medium"/>
    <n v="71756"/>
    <n v="8000"/>
    <d v="2025-10-18T00:00:00"/>
    <d v="2025-10-18T00:00:00"/>
    <n v="0"/>
    <x v="1"/>
    <s v="Yes"/>
    <s v="No response"/>
    <n v="0"/>
    <s v="On Time"/>
    <s v="Low"/>
    <n v="1"/>
    <x v="0"/>
  </r>
  <r>
    <s v="CUST_0185"/>
    <x v="0"/>
    <s v="High"/>
    <n v="46292"/>
    <n v="3900"/>
    <d v="2025-10-19T00:00:00"/>
    <d v="2025-10-19T00:00:00"/>
    <n v="0"/>
    <x v="3"/>
    <s v="No"/>
    <s v="No response"/>
    <n v="0"/>
    <s v="On Time"/>
    <s v="Low"/>
    <n v="0"/>
    <x v="3"/>
  </r>
  <r>
    <s v="CUST_0186"/>
    <x v="0"/>
    <s v="Medium"/>
    <n v="89274"/>
    <n v="6000"/>
    <d v="2025-10-28T00:00:00"/>
    <d v="2025-10-31T00:00:00"/>
    <n v="3"/>
    <x v="3"/>
    <s v="No"/>
    <s v="Cannot pay right now"/>
    <n v="1"/>
    <s v="Delayed"/>
    <s v="Medium"/>
    <n v="0"/>
    <x v="2"/>
  </r>
  <r>
    <s v="CUST_0187"/>
    <x v="1"/>
    <s v="Medium"/>
    <n v="22469"/>
    <n v="1000"/>
    <d v="2025-10-28T00:00:00"/>
    <d v="2025-10-28T00:00:00"/>
    <n v="0"/>
    <x v="3"/>
    <s v="No"/>
    <s v="No response"/>
    <n v="0"/>
    <s v="On Time"/>
    <s v="Low"/>
    <n v="0"/>
    <x v="1"/>
  </r>
  <r>
    <s v="CUST_0188"/>
    <x v="0"/>
    <s v="Low"/>
    <n v="73947"/>
    <n v="8200"/>
    <d v="2025-10-19T00:00:00"/>
    <d v="2025-10-19T00:00:00"/>
    <n v="0"/>
    <x v="3"/>
    <s v="No"/>
    <s v="Paid already"/>
    <n v="0"/>
    <s v="On Time"/>
    <s v="Low"/>
    <n v="0"/>
    <x v="0"/>
  </r>
  <r>
    <s v="CUST_0189"/>
    <x v="0"/>
    <s v="Medium"/>
    <n v="42534"/>
    <n v="2800"/>
    <d v="2025-10-17T00:00:00"/>
    <d v="2025-10-17T00:00:00"/>
    <n v="0"/>
    <x v="2"/>
    <s v="No"/>
    <s v="Please stop calling"/>
    <n v="0"/>
    <s v="On Time"/>
    <s v="Low"/>
    <n v="0"/>
    <x v="1"/>
  </r>
  <r>
    <s v="CUST_0190"/>
    <x v="0"/>
    <s v="Low"/>
    <n v="83620"/>
    <n v="13900"/>
    <d v="2025-10-14T00:00:00"/>
    <d v="2025-10-17T00:00:00"/>
    <n v="3"/>
    <x v="3"/>
    <s v="Yes"/>
    <s v="Please stop calling"/>
    <n v="1"/>
    <s v="Delayed"/>
    <s v="Medium"/>
    <n v="1"/>
    <x v="2"/>
  </r>
  <r>
    <s v="CUST_0191"/>
    <x v="2"/>
    <s v="Low"/>
    <n v="68874"/>
    <n v="3000"/>
    <d v="2025-10-19T00:00:00"/>
    <d v="2025-10-19T00:00:00"/>
    <n v="0"/>
    <x v="1"/>
    <s v="No"/>
    <s v="Dispute on EMI amount"/>
    <n v="0"/>
    <s v="On Time"/>
    <s v="Low"/>
    <n v="0"/>
    <x v="0"/>
  </r>
  <r>
    <s v="CUST_0192"/>
    <x v="1"/>
    <s v="Low"/>
    <n v="69708"/>
    <n v="7000"/>
    <d v="2025-10-22T00:00:00"/>
    <d v="2025-11-06T00:00:00"/>
    <n v="15"/>
    <x v="1"/>
    <s v="No"/>
    <s v="Need settlement offer"/>
    <n v="1"/>
    <s v="Delayed"/>
    <s v="High"/>
    <n v="0"/>
    <x v="0"/>
  </r>
  <r>
    <s v="CUST_0193"/>
    <x v="1"/>
    <s v="Medium"/>
    <n v="94553"/>
    <n v="4700"/>
    <d v="2025-10-24T00:00:00"/>
    <d v="2025-10-24T00:00:00"/>
    <n v="0"/>
    <x v="2"/>
    <s v="Yes"/>
    <s v="Will pay tomorrow"/>
    <n v="0"/>
    <s v="On Time"/>
    <s v="Low"/>
    <n v="1"/>
    <x v="2"/>
  </r>
  <r>
    <s v="CUST_0194"/>
    <x v="0"/>
    <s v="Low"/>
    <n v="88344"/>
    <n v="4000"/>
    <d v="2025-10-13T00:00:00"/>
    <d v="2025-10-28T00:00:00"/>
    <n v="15"/>
    <x v="0"/>
    <s v="Yes"/>
    <s v="Paid already"/>
    <n v="1"/>
    <s v="Delayed"/>
    <s v="High"/>
    <n v="1"/>
    <x v="2"/>
  </r>
  <r>
    <s v="CUST_0195"/>
    <x v="0"/>
    <s v="Low"/>
    <n v="69138"/>
    <n v="8600"/>
    <d v="2025-10-12T00:00:00"/>
    <d v="2025-10-27T00:00:00"/>
    <n v="15"/>
    <x v="2"/>
    <s v="Yes"/>
    <s v="Lost my job, need more time"/>
    <n v="1"/>
    <s v="Delayed"/>
    <s v="High"/>
    <n v="1"/>
    <x v="0"/>
  </r>
  <r>
    <s v="CUST_0196"/>
    <x v="0"/>
    <s v="Medium"/>
    <n v="74302"/>
    <n v="4400"/>
    <d v="2025-10-30T00:00:00"/>
    <d v="2025-10-30T00:00:00"/>
    <n v="0"/>
    <x v="2"/>
    <s v="Yes"/>
    <s v="Will pay next week"/>
    <n v="0"/>
    <s v="On Time"/>
    <s v="Low"/>
    <n v="1"/>
    <x v="0"/>
  </r>
  <r>
    <s v="CUST_0197"/>
    <x v="1"/>
    <s v="Low"/>
    <n v="67638"/>
    <n v="9700"/>
    <d v="2025-10-26T00:00:00"/>
    <d v="2025-10-26T00:00:00"/>
    <n v="0"/>
    <x v="0"/>
    <s v="No"/>
    <s v="Will pay tomorrow"/>
    <n v="0"/>
    <s v="On Time"/>
    <s v="Low"/>
    <n v="0"/>
    <x v="0"/>
  </r>
  <r>
    <s v="CUST_0198"/>
    <x v="1"/>
    <s v="Medium"/>
    <n v="98249"/>
    <n v="16400"/>
    <d v="2025-10-06T00:00:00"/>
    <d v="2025-10-06T00:00:00"/>
    <n v="0"/>
    <x v="3"/>
    <s v="No"/>
    <s v="Will pay next week"/>
    <n v="0"/>
    <s v="On Time"/>
    <s v="Low"/>
    <n v="0"/>
    <x v="2"/>
  </r>
  <r>
    <s v="CUST_0199"/>
    <x v="1"/>
    <s v="Low"/>
    <n v="22719"/>
    <n v="1000"/>
    <d v="2025-10-21T00:00:00"/>
    <d v="2025-10-21T00:00:00"/>
    <n v="0"/>
    <x v="0"/>
    <s v="No"/>
    <s v="Need settlement offer"/>
    <n v="0"/>
    <s v="On Time"/>
    <s v="Low"/>
    <n v="0"/>
    <x v="1"/>
  </r>
  <r>
    <s v="CUST_0200"/>
    <x v="1"/>
    <s v="Low"/>
    <n v="42890"/>
    <n v="2000"/>
    <d v="2025-10-04T00:00:00"/>
    <d v="2025-10-04T00:00:00"/>
    <n v="0"/>
    <x v="3"/>
    <s v="No"/>
    <s v="Will pay next week"/>
    <n v="0"/>
    <s v="On Time"/>
    <s v="Low"/>
    <n v="0"/>
    <x v="1"/>
  </r>
  <r>
    <s v="CUST_0201"/>
    <x v="0"/>
    <s v="Medium"/>
    <n v="97236"/>
    <n v="9700"/>
    <d v="2025-10-19T00:00:00"/>
    <d v="2025-10-19T00:00:00"/>
    <n v="0"/>
    <x v="2"/>
    <s v="No"/>
    <s v="Need settlement offer"/>
    <n v="0"/>
    <s v="On Time"/>
    <s v="Low"/>
    <n v="0"/>
    <x v="2"/>
  </r>
  <r>
    <s v="CUST_0202"/>
    <x v="2"/>
    <s v="Low"/>
    <n v="56509"/>
    <n v="2800"/>
    <d v="2025-10-16T00:00:00"/>
    <d v="2025-10-16T00:00:00"/>
    <n v="0"/>
    <x v="3"/>
    <s v="No"/>
    <s v="Will pay tomorrow"/>
    <n v="0"/>
    <s v="On Time"/>
    <s v="Low"/>
    <n v="0"/>
    <x v="3"/>
  </r>
  <r>
    <s v="CUST_0203"/>
    <x v="2"/>
    <s v="Low"/>
    <n v="62534"/>
    <n v="7800"/>
    <d v="2025-10-13T00:00:00"/>
    <d v="2025-10-28T00:00:00"/>
    <n v="15"/>
    <x v="1"/>
    <s v="No"/>
    <s v="Cannot pay right now"/>
    <n v="1"/>
    <s v="Delayed"/>
    <s v="High"/>
    <n v="0"/>
    <x v="0"/>
  </r>
  <r>
    <s v="CUST_0204"/>
    <x v="1"/>
    <s v="Low"/>
    <n v="38787"/>
    <n v="3200"/>
    <d v="2025-10-04T00:00:00"/>
    <d v="2025-10-04T00:00:00"/>
    <n v="0"/>
    <x v="1"/>
    <s v="No"/>
    <s v="No response"/>
    <n v="0"/>
    <s v="On Time"/>
    <s v="Low"/>
    <n v="0"/>
    <x v="1"/>
  </r>
  <r>
    <s v="CUST_0205"/>
    <x v="0"/>
    <s v="Low"/>
    <n v="68845"/>
    <n v="4300"/>
    <d v="2025-10-30T00:00:00"/>
    <d v="2025-11-14T00:00:00"/>
    <n v="15"/>
    <x v="1"/>
    <s v="No"/>
    <s v="Will pay next week"/>
    <n v="1"/>
    <s v="Delayed"/>
    <s v="High"/>
    <n v="0"/>
    <x v="0"/>
  </r>
  <r>
    <s v="CUST_0206"/>
    <x v="2"/>
    <s v="High"/>
    <n v="77932"/>
    <n v="5200"/>
    <d v="2025-10-23T00:00:00"/>
    <d v="2025-10-23T00:00:00"/>
    <n v="0"/>
    <x v="2"/>
    <s v="No"/>
    <s v="Will pay tomorrow"/>
    <n v="0"/>
    <s v="On Time"/>
    <s v="Low"/>
    <n v="0"/>
    <x v="0"/>
  </r>
  <r>
    <s v="CUST_0207"/>
    <x v="2"/>
    <s v="Low"/>
    <n v="53062"/>
    <n v="3800"/>
    <d v="2025-10-17T00:00:00"/>
    <d v="2025-11-16T00:00:00"/>
    <n v="30"/>
    <x v="2"/>
    <s v="No"/>
    <s v="Lost my job, need more time"/>
    <n v="1"/>
    <s v="Delayed"/>
    <s v="High"/>
    <n v="0"/>
    <x v="3"/>
  </r>
  <r>
    <s v="CUST_0208"/>
    <x v="0"/>
    <s v="Medium"/>
    <n v="95713"/>
    <n v="5000"/>
    <d v="2025-10-23T00:00:00"/>
    <d v="2025-10-26T00:00:00"/>
    <n v="3"/>
    <x v="3"/>
    <s v="Yes"/>
    <s v="Will pay next week"/>
    <n v="1"/>
    <s v="Delayed"/>
    <s v="Medium"/>
    <n v="1"/>
    <x v="2"/>
  </r>
  <r>
    <s v="CUST_0209"/>
    <x v="2"/>
    <s v="Low"/>
    <n v="80461"/>
    <n v="4500"/>
    <d v="2025-10-01T00:00:00"/>
    <d v="2025-10-01T00:00:00"/>
    <n v="0"/>
    <x v="3"/>
    <s v="No"/>
    <s v="No response"/>
    <n v="0"/>
    <s v="On Time"/>
    <s v="Low"/>
    <n v="0"/>
    <x v="2"/>
  </r>
  <r>
    <s v="CUST_0210"/>
    <x v="2"/>
    <s v="Medium"/>
    <n v="95418"/>
    <n v="13600"/>
    <d v="2025-10-18T00:00:00"/>
    <d v="2025-10-21T00:00:00"/>
    <n v="3"/>
    <x v="0"/>
    <s v="No"/>
    <s v="Cannot pay right now"/>
    <n v="1"/>
    <s v="Delayed"/>
    <s v="Medium"/>
    <n v="0"/>
    <x v="2"/>
  </r>
  <r>
    <s v="CUST_0211"/>
    <x v="0"/>
    <s v="Medium"/>
    <n v="86672"/>
    <n v="10800"/>
    <d v="2025-10-20T00:00:00"/>
    <d v="2025-10-20T00:00:00"/>
    <n v="0"/>
    <x v="2"/>
    <s v="No"/>
    <s v="Cannot pay right now"/>
    <n v="0"/>
    <s v="On Time"/>
    <s v="Low"/>
    <n v="0"/>
    <x v="2"/>
  </r>
  <r>
    <s v="CUST_0212"/>
    <x v="0"/>
    <s v="Medium"/>
    <n v="54832"/>
    <n v="4600"/>
    <d v="2025-10-17T00:00:00"/>
    <d v="2025-10-17T00:00:00"/>
    <n v="0"/>
    <x v="1"/>
    <s v="No"/>
    <s v="Lost my job, need more time"/>
    <n v="0"/>
    <s v="On Time"/>
    <s v="Low"/>
    <n v="0"/>
    <x v="3"/>
  </r>
  <r>
    <s v="CUST_0213"/>
    <x v="0"/>
    <s v="Low"/>
    <n v="51966"/>
    <n v="2300"/>
    <d v="2025-10-27T00:00:00"/>
    <d v="2025-11-26T00:00:00"/>
    <n v="30"/>
    <x v="1"/>
    <s v="No"/>
    <s v="Paid already"/>
    <n v="1"/>
    <s v="Delayed"/>
    <s v="High"/>
    <n v="0"/>
    <x v="3"/>
  </r>
  <r>
    <s v="CUST_0214"/>
    <x v="0"/>
    <s v="Low"/>
    <n v="92545"/>
    <n v="11600"/>
    <d v="2025-10-28T00:00:00"/>
    <d v="2025-10-28T00:00:00"/>
    <n v="0"/>
    <x v="2"/>
    <s v="No"/>
    <s v="Lost my job, need more time"/>
    <n v="0"/>
    <s v="On Time"/>
    <s v="Low"/>
    <n v="0"/>
    <x v="2"/>
  </r>
  <r>
    <s v="CUST_0215"/>
    <x v="1"/>
    <s v="Low"/>
    <n v="32987"/>
    <n v="2200"/>
    <d v="2025-10-27T00:00:00"/>
    <d v="2025-10-27T00:00:00"/>
    <n v="0"/>
    <x v="1"/>
    <s v="No"/>
    <s v="Will pay next week"/>
    <n v="0"/>
    <s v="On Time"/>
    <s v="Low"/>
    <n v="0"/>
    <x v="1"/>
  </r>
  <r>
    <s v="CUST_0216"/>
    <x v="0"/>
    <s v="High"/>
    <n v="57311"/>
    <n v="4800"/>
    <d v="2025-10-15T00:00:00"/>
    <d v="2025-10-22T00:00:00"/>
    <n v="7"/>
    <x v="3"/>
    <s v="No"/>
    <s v="Paid already"/>
    <n v="1"/>
    <s v="Delayed"/>
    <s v="Medium"/>
    <n v="0"/>
    <x v="3"/>
  </r>
  <r>
    <s v="CUST_0217"/>
    <x v="0"/>
    <s v="Medium"/>
    <n v="51575"/>
    <n v="3700"/>
    <d v="2025-10-11T00:00:00"/>
    <d v="2025-11-10T00:00:00"/>
    <n v="30"/>
    <x v="3"/>
    <s v="No"/>
    <s v="Please stop calling"/>
    <n v="1"/>
    <s v="Delayed"/>
    <s v="High"/>
    <n v="0"/>
    <x v="3"/>
  </r>
  <r>
    <s v="CUST_0218"/>
    <x v="1"/>
    <s v="High"/>
    <n v="83852"/>
    <n v="3800"/>
    <d v="2025-10-25T00:00:00"/>
    <d v="2025-10-28T00:00:00"/>
    <n v="3"/>
    <x v="3"/>
    <s v="No"/>
    <s v="Cannot pay right now"/>
    <n v="1"/>
    <s v="Delayed"/>
    <s v="Medium"/>
    <n v="0"/>
    <x v="2"/>
  </r>
  <r>
    <s v="CUST_0219"/>
    <x v="0"/>
    <s v="Low"/>
    <n v="21007"/>
    <n v="1300"/>
    <d v="2025-10-28T00:00:00"/>
    <d v="2025-10-28T00:00:00"/>
    <n v="0"/>
    <x v="2"/>
    <s v="No"/>
    <s v="No response"/>
    <n v="0"/>
    <s v="On Time"/>
    <s v="Low"/>
    <n v="0"/>
    <x v="1"/>
  </r>
  <r>
    <s v="CUST_0220"/>
    <x v="1"/>
    <s v="Medium"/>
    <n v="90981"/>
    <n v="7600"/>
    <d v="2025-10-22T00:00:00"/>
    <d v="2025-10-25T00:00:00"/>
    <n v="3"/>
    <x v="2"/>
    <s v="Yes"/>
    <s v="Cannot pay right now"/>
    <n v="1"/>
    <s v="Delayed"/>
    <s v="Medium"/>
    <n v="1"/>
    <x v="2"/>
  </r>
  <r>
    <s v="CUST_0221"/>
    <x v="0"/>
    <s v="High"/>
    <n v="96242"/>
    <n v="5100"/>
    <d v="2025-10-13T00:00:00"/>
    <d v="2025-10-13T00:00:00"/>
    <n v="0"/>
    <x v="2"/>
    <s v="No"/>
    <s v="Cannot pay right now"/>
    <n v="0"/>
    <s v="On Time"/>
    <s v="Low"/>
    <n v="0"/>
    <x v="2"/>
  </r>
  <r>
    <s v="CUST_0222"/>
    <x v="0"/>
    <s v="Low"/>
    <n v="67517"/>
    <n v="7500"/>
    <d v="2025-10-01T00:00:00"/>
    <d v="2025-10-08T00:00:00"/>
    <n v="7"/>
    <x v="2"/>
    <s v="Yes"/>
    <s v="Dispute on EMI amount"/>
    <n v="1"/>
    <s v="Delayed"/>
    <s v="Medium"/>
    <n v="1"/>
    <x v="0"/>
  </r>
  <r>
    <s v="CUST_0223"/>
    <x v="2"/>
    <s v="Low"/>
    <n v="49257"/>
    <n v="4500"/>
    <d v="2025-10-17T00:00:00"/>
    <d v="2025-12-01T00:00:00"/>
    <n v="45"/>
    <x v="2"/>
    <s v="No"/>
    <s v="Will pay tomorrow"/>
    <n v="1"/>
    <s v="Delayed"/>
    <s v="High"/>
    <n v="0"/>
    <x v="3"/>
  </r>
  <r>
    <s v="CUST_0224"/>
    <x v="0"/>
    <s v="Medium"/>
    <n v="62207"/>
    <n v="4100"/>
    <d v="2025-10-06T00:00:00"/>
    <d v="2025-10-13T00:00:00"/>
    <n v="7"/>
    <x v="1"/>
    <s v="No"/>
    <s v="Will pay tomorrow"/>
    <n v="1"/>
    <s v="Delayed"/>
    <s v="Medium"/>
    <n v="0"/>
    <x v="0"/>
  </r>
  <r>
    <s v="CUST_0225"/>
    <x v="0"/>
    <s v="Medium"/>
    <n v="33281"/>
    <n v="2800"/>
    <d v="2025-10-04T00:00:00"/>
    <d v="2025-10-19T00:00:00"/>
    <n v="15"/>
    <x v="1"/>
    <s v="No"/>
    <s v="Cannot pay right now"/>
    <n v="1"/>
    <s v="Delayed"/>
    <s v="High"/>
    <n v="0"/>
    <x v="1"/>
  </r>
  <r>
    <s v="CUST_0226"/>
    <x v="0"/>
    <s v="Medium"/>
    <n v="81246"/>
    <n v="4500"/>
    <d v="2025-10-20T00:00:00"/>
    <d v="2025-10-20T00:00:00"/>
    <n v="0"/>
    <x v="3"/>
    <s v="Yes"/>
    <s v="Will clear dues soon"/>
    <n v="0"/>
    <s v="On Time"/>
    <s v="Low"/>
    <n v="1"/>
    <x v="2"/>
  </r>
  <r>
    <s v="CUST_0227"/>
    <x v="1"/>
    <s v="Low"/>
    <n v="21435"/>
    <n v="1100"/>
    <d v="2025-10-16T00:00:00"/>
    <d v="2025-10-23T00:00:00"/>
    <n v="7"/>
    <x v="3"/>
    <s v="No"/>
    <s v="Need settlement offer"/>
    <n v="1"/>
    <s v="Delayed"/>
    <s v="Medium"/>
    <n v="0"/>
    <x v="1"/>
  </r>
  <r>
    <s v="CUST_0228"/>
    <x v="0"/>
    <s v="Medium"/>
    <n v="46660"/>
    <n v="5200"/>
    <d v="2025-10-15T00:00:00"/>
    <d v="2025-10-30T00:00:00"/>
    <n v="15"/>
    <x v="1"/>
    <s v="No"/>
    <s v="Lost my job, need more time"/>
    <n v="1"/>
    <s v="Delayed"/>
    <s v="High"/>
    <n v="0"/>
    <x v="3"/>
  </r>
  <r>
    <s v="CUST_0229"/>
    <x v="1"/>
    <s v="Low"/>
    <n v="25084"/>
    <n v="1900"/>
    <d v="2025-10-27T00:00:00"/>
    <d v="2025-10-27T00:00:00"/>
    <n v="0"/>
    <x v="2"/>
    <s v="Yes"/>
    <s v="Please stop calling"/>
    <n v="0"/>
    <s v="On Time"/>
    <s v="Low"/>
    <n v="1"/>
    <x v="1"/>
  </r>
  <r>
    <s v="CUST_0230"/>
    <x v="0"/>
    <s v="Low"/>
    <n v="33507"/>
    <n v="3400"/>
    <d v="2025-10-15T00:00:00"/>
    <d v="2025-11-14T00:00:00"/>
    <n v="30"/>
    <x v="1"/>
    <s v="No"/>
    <s v="Paid already"/>
    <n v="1"/>
    <s v="Delayed"/>
    <s v="High"/>
    <n v="0"/>
    <x v="1"/>
  </r>
  <r>
    <s v="CUST_0231"/>
    <x v="1"/>
    <s v="Low"/>
    <n v="92595"/>
    <n v="15400"/>
    <d v="2025-10-06T00:00:00"/>
    <d v="2025-10-06T00:00:00"/>
    <n v="0"/>
    <x v="3"/>
    <s v="Yes"/>
    <s v="Will clear dues soon"/>
    <n v="0"/>
    <s v="On Time"/>
    <s v="Low"/>
    <n v="1"/>
    <x v="2"/>
  </r>
  <r>
    <s v="CUST_0232"/>
    <x v="0"/>
    <s v="Medium"/>
    <n v="65539"/>
    <n v="7300"/>
    <d v="2025-10-15T00:00:00"/>
    <d v="2025-10-18T00:00:00"/>
    <n v="3"/>
    <x v="2"/>
    <s v="No"/>
    <s v="Lost my job, need more time"/>
    <n v="1"/>
    <s v="Delayed"/>
    <s v="Medium"/>
    <n v="0"/>
    <x v="0"/>
  </r>
  <r>
    <s v="CUST_0233"/>
    <x v="0"/>
    <s v="Medium"/>
    <n v="27491"/>
    <n v="3400"/>
    <d v="2025-10-14T00:00:00"/>
    <d v="2025-10-29T00:00:00"/>
    <n v="15"/>
    <x v="3"/>
    <s v="No"/>
    <s v="Dispute on EMI amount"/>
    <n v="1"/>
    <s v="Delayed"/>
    <s v="High"/>
    <n v="0"/>
    <x v="1"/>
  </r>
  <r>
    <s v="CUST_0234"/>
    <x v="0"/>
    <s v="Medium"/>
    <n v="70192"/>
    <n v="5000"/>
    <d v="2025-10-28T00:00:00"/>
    <d v="2025-10-31T00:00:00"/>
    <n v="3"/>
    <x v="3"/>
    <s v="No"/>
    <s v="Need settlement offer"/>
    <n v="1"/>
    <s v="Delayed"/>
    <s v="Medium"/>
    <n v="0"/>
    <x v="0"/>
  </r>
  <r>
    <s v="CUST_0235"/>
    <x v="2"/>
    <s v="Low"/>
    <n v="83888"/>
    <n v="6500"/>
    <d v="2025-10-11T00:00:00"/>
    <d v="2025-10-11T00:00:00"/>
    <n v="0"/>
    <x v="1"/>
    <s v="No"/>
    <s v="Will pay next week"/>
    <n v="0"/>
    <s v="On Time"/>
    <s v="Low"/>
    <n v="0"/>
    <x v="2"/>
  </r>
  <r>
    <s v="CUST_0236"/>
    <x v="1"/>
    <s v="Medium"/>
    <n v="93609"/>
    <n v="15600"/>
    <d v="2025-10-07T00:00:00"/>
    <d v="2025-10-10T00:00:00"/>
    <n v="3"/>
    <x v="2"/>
    <s v="No"/>
    <s v="Dispute on EMI amount"/>
    <n v="1"/>
    <s v="Delayed"/>
    <s v="Medium"/>
    <n v="0"/>
    <x v="2"/>
  </r>
  <r>
    <s v="CUST_0237"/>
    <x v="0"/>
    <s v="Low"/>
    <n v="29077"/>
    <n v="2600"/>
    <d v="2025-10-09T00:00:00"/>
    <d v="2025-10-09T00:00:00"/>
    <n v="0"/>
    <x v="1"/>
    <s v="No"/>
    <s v="No response"/>
    <n v="0"/>
    <s v="On Time"/>
    <s v="Low"/>
    <n v="0"/>
    <x v="1"/>
  </r>
  <r>
    <s v="CUST_0238"/>
    <x v="2"/>
    <s v="Medium"/>
    <n v="40953"/>
    <n v="2900"/>
    <d v="2025-10-26T00:00:00"/>
    <d v="2025-11-25T00:00:00"/>
    <n v="30"/>
    <x v="0"/>
    <s v="Yes"/>
    <s v="Will clear dues soon"/>
    <n v="1"/>
    <s v="Delayed"/>
    <s v="High"/>
    <n v="1"/>
    <x v="1"/>
  </r>
  <r>
    <s v="CUST_0239"/>
    <x v="0"/>
    <s v="Low"/>
    <n v="96919"/>
    <n v="8100"/>
    <d v="2025-10-16T00:00:00"/>
    <d v="2025-10-16T00:00:00"/>
    <n v="0"/>
    <x v="2"/>
    <s v="Yes"/>
    <s v="Cannot pay right now"/>
    <n v="0"/>
    <s v="On Time"/>
    <s v="Low"/>
    <n v="1"/>
    <x v="2"/>
  </r>
  <r>
    <s v="CUST_0240"/>
    <x v="2"/>
    <s v="Low"/>
    <n v="87889"/>
    <n v="9800"/>
    <d v="2025-10-05T00:00:00"/>
    <d v="2025-10-05T00:00:00"/>
    <n v="0"/>
    <x v="1"/>
    <s v="Yes"/>
    <s v="Will pay tomorrow"/>
    <n v="0"/>
    <s v="On Time"/>
    <s v="Low"/>
    <n v="1"/>
    <x v="2"/>
  </r>
  <r>
    <s v="CUST_0241"/>
    <x v="1"/>
    <s v="Low"/>
    <n v="43821"/>
    <n v="2400"/>
    <d v="2025-10-25T00:00:00"/>
    <d v="2025-11-01T00:00:00"/>
    <n v="7"/>
    <x v="3"/>
    <s v="No"/>
    <s v="Will pay next week"/>
    <n v="1"/>
    <s v="Delayed"/>
    <s v="Medium"/>
    <n v="0"/>
    <x v="3"/>
  </r>
  <r>
    <s v="CUST_0242"/>
    <x v="1"/>
    <s v="Low"/>
    <n v="57567"/>
    <n v="2600"/>
    <d v="2025-10-20T00:00:00"/>
    <d v="2025-10-20T00:00:00"/>
    <n v="0"/>
    <x v="2"/>
    <s v="No"/>
    <s v="Need settlement offer"/>
    <n v="0"/>
    <s v="On Time"/>
    <s v="Low"/>
    <n v="0"/>
    <x v="3"/>
  </r>
  <r>
    <s v="CUST_0243"/>
    <x v="1"/>
    <s v="Medium"/>
    <n v="44860"/>
    <n v="6400"/>
    <d v="2025-10-29T00:00:00"/>
    <d v="2025-11-01T00:00:00"/>
    <n v="3"/>
    <x v="1"/>
    <s v="No"/>
    <s v="Paid already"/>
    <n v="1"/>
    <s v="Delayed"/>
    <s v="Medium"/>
    <n v="0"/>
    <x v="3"/>
  </r>
  <r>
    <s v="CUST_0244"/>
    <x v="0"/>
    <s v="Medium"/>
    <n v="41195"/>
    <n v="4100"/>
    <d v="2025-10-10T00:00:00"/>
    <d v="2025-10-13T00:00:00"/>
    <n v="3"/>
    <x v="2"/>
    <s v="No"/>
    <s v="Dispute on EMI amount"/>
    <n v="1"/>
    <s v="Delayed"/>
    <s v="Medium"/>
    <n v="0"/>
    <x v="1"/>
  </r>
  <r>
    <s v="CUST_0245"/>
    <x v="2"/>
    <s v="Low"/>
    <n v="97475"/>
    <n v="5700"/>
    <d v="2025-10-18T00:00:00"/>
    <d v="2025-11-17T00:00:00"/>
    <n v="30"/>
    <x v="2"/>
    <s v="No"/>
    <s v="Please stop calling"/>
    <n v="1"/>
    <s v="Delayed"/>
    <s v="High"/>
    <n v="0"/>
    <x v="2"/>
  </r>
  <r>
    <s v="CUST_0246"/>
    <x v="1"/>
    <s v="Medium"/>
    <n v="41427"/>
    <n v="3200"/>
    <d v="2025-10-03T00:00:00"/>
    <d v="2025-10-06T00:00:00"/>
    <n v="3"/>
    <x v="3"/>
    <s v="No"/>
    <s v="Need settlement offer"/>
    <n v="1"/>
    <s v="Delayed"/>
    <s v="Medium"/>
    <n v="0"/>
    <x v="1"/>
  </r>
  <r>
    <s v="CUST_0247"/>
    <x v="0"/>
    <s v="Low"/>
    <n v="47083"/>
    <n v="4300"/>
    <d v="2025-10-13T00:00:00"/>
    <d v="2025-10-13T00:00:00"/>
    <n v="0"/>
    <x v="2"/>
    <s v="No"/>
    <s v="Will clear dues soon"/>
    <n v="0"/>
    <s v="On Time"/>
    <s v="Low"/>
    <n v="0"/>
    <x v="3"/>
  </r>
  <r>
    <s v="CUST_0248"/>
    <x v="1"/>
    <s v="Medium"/>
    <n v="77372"/>
    <n v="6000"/>
    <d v="2025-10-11T00:00:00"/>
    <d v="2025-10-11T00:00:00"/>
    <n v="0"/>
    <x v="0"/>
    <s v="No"/>
    <s v="Paid already"/>
    <n v="0"/>
    <s v="On Time"/>
    <s v="Low"/>
    <n v="0"/>
    <x v="0"/>
  </r>
  <r>
    <s v="CUST_0249"/>
    <x v="1"/>
    <s v="High"/>
    <n v="64064"/>
    <n v="2800"/>
    <d v="2025-10-17T00:00:00"/>
    <d v="2025-10-17T00:00:00"/>
    <n v="0"/>
    <x v="0"/>
    <s v="No"/>
    <s v="Will clear dues soon"/>
    <n v="0"/>
    <s v="On Time"/>
    <s v="Low"/>
    <n v="0"/>
    <x v="0"/>
  </r>
  <r>
    <s v="CUST_0250"/>
    <x v="1"/>
    <s v="Medium"/>
    <n v="27813"/>
    <n v="3500"/>
    <d v="2025-10-30T00:00:00"/>
    <d v="2025-10-30T00:00:00"/>
    <n v="0"/>
    <x v="1"/>
    <s v="No"/>
    <s v="Need settlement offer"/>
    <n v="0"/>
    <s v="On Time"/>
    <s v="Low"/>
    <n v="0"/>
    <x v="1"/>
  </r>
  <r>
    <s v="CUST_0251"/>
    <x v="0"/>
    <s v="Low"/>
    <n v="51598"/>
    <n v="3000"/>
    <d v="2025-10-30T00:00:00"/>
    <d v="2025-10-30T00:00:00"/>
    <n v="0"/>
    <x v="1"/>
    <s v="No"/>
    <s v="Will clear dues soon"/>
    <n v="0"/>
    <s v="On Time"/>
    <s v="Low"/>
    <n v="0"/>
    <x v="3"/>
  </r>
  <r>
    <s v="CUST_0252"/>
    <x v="0"/>
    <s v="High"/>
    <n v="47082"/>
    <n v="5900"/>
    <d v="2025-10-22T00:00:00"/>
    <d v="2025-10-25T00:00:00"/>
    <n v="3"/>
    <x v="2"/>
    <s v="Yes"/>
    <s v="Will pay next week"/>
    <n v="1"/>
    <s v="Delayed"/>
    <s v="Medium"/>
    <n v="1"/>
    <x v="3"/>
  </r>
  <r>
    <s v="CUST_0253"/>
    <x v="1"/>
    <s v="Medium"/>
    <n v="49241"/>
    <n v="4500"/>
    <d v="2025-10-13T00:00:00"/>
    <d v="2025-10-20T00:00:00"/>
    <n v="7"/>
    <x v="2"/>
    <s v="No"/>
    <s v="Cannot pay right now"/>
    <n v="1"/>
    <s v="Delayed"/>
    <s v="Medium"/>
    <n v="0"/>
    <x v="3"/>
  </r>
  <r>
    <s v="CUST_0254"/>
    <x v="0"/>
    <s v="Low"/>
    <n v="64569"/>
    <n v="9200"/>
    <d v="2025-10-06T00:00:00"/>
    <d v="2025-10-06T00:00:00"/>
    <n v="0"/>
    <x v="3"/>
    <s v="No"/>
    <s v="Will pay tomorrow"/>
    <n v="0"/>
    <s v="On Time"/>
    <s v="Low"/>
    <n v="0"/>
    <x v="0"/>
  </r>
  <r>
    <s v="CUST_0255"/>
    <x v="2"/>
    <s v="Low"/>
    <n v="31745"/>
    <n v="1900"/>
    <d v="2025-10-17T00:00:00"/>
    <d v="2025-11-01T00:00:00"/>
    <n v="15"/>
    <x v="2"/>
    <s v="Yes"/>
    <s v="Paid already"/>
    <n v="1"/>
    <s v="Delayed"/>
    <s v="High"/>
    <n v="1"/>
    <x v="1"/>
  </r>
  <r>
    <s v="CUST_0256"/>
    <x v="0"/>
    <s v="Medium"/>
    <n v="46029"/>
    <n v="6600"/>
    <d v="2025-10-27T00:00:00"/>
    <d v="2025-12-26T00:00:00"/>
    <n v="60"/>
    <x v="2"/>
    <s v="No"/>
    <s v="Will clear dues soon"/>
    <n v="1"/>
    <s v="Delayed"/>
    <s v="High"/>
    <n v="0"/>
    <x v="3"/>
  </r>
  <r>
    <s v="CUST_0257"/>
    <x v="1"/>
    <s v="Medium"/>
    <n v="33025"/>
    <n v="3000"/>
    <d v="2025-10-13T00:00:00"/>
    <d v="2025-10-28T00:00:00"/>
    <n v="15"/>
    <x v="0"/>
    <s v="Yes"/>
    <s v="Paid already"/>
    <n v="1"/>
    <s v="Delayed"/>
    <s v="High"/>
    <n v="1"/>
    <x v="1"/>
  </r>
  <r>
    <s v="CUST_0258"/>
    <x v="0"/>
    <s v="Medium"/>
    <n v="34288"/>
    <n v="1600"/>
    <d v="2025-10-19T00:00:00"/>
    <d v="2025-10-22T00:00:00"/>
    <n v="3"/>
    <x v="2"/>
    <s v="No"/>
    <s v="No response"/>
    <n v="1"/>
    <s v="Delayed"/>
    <s v="Medium"/>
    <n v="0"/>
    <x v="1"/>
  </r>
  <r>
    <s v="CUST_0259"/>
    <x v="0"/>
    <s v="Medium"/>
    <n v="26540"/>
    <n v="3300"/>
    <d v="2025-10-21T00:00:00"/>
    <d v="2025-10-21T00:00:00"/>
    <n v="0"/>
    <x v="2"/>
    <s v="Yes"/>
    <s v="Please stop calling"/>
    <n v="0"/>
    <s v="On Time"/>
    <s v="Low"/>
    <n v="1"/>
    <x v="1"/>
  </r>
  <r>
    <s v="CUST_0260"/>
    <x v="2"/>
    <s v="Medium"/>
    <n v="88878"/>
    <n v="12700"/>
    <d v="2025-10-19T00:00:00"/>
    <d v="2025-10-19T00:00:00"/>
    <n v="0"/>
    <x v="2"/>
    <s v="No"/>
    <s v="Need settlement offer"/>
    <n v="0"/>
    <s v="On Time"/>
    <s v="Low"/>
    <n v="0"/>
    <x v="2"/>
  </r>
  <r>
    <s v="CUST_0261"/>
    <x v="0"/>
    <s v="Low"/>
    <n v="61846"/>
    <n v="4800"/>
    <d v="2025-10-10T00:00:00"/>
    <d v="2025-10-10T00:00:00"/>
    <n v="0"/>
    <x v="1"/>
    <s v="No"/>
    <s v="Will pay next week"/>
    <n v="0"/>
    <s v="On Time"/>
    <s v="Low"/>
    <n v="0"/>
    <x v="0"/>
  </r>
  <r>
    <s v="CUST_0262"/>
    <x v="1"/>
    <s v="Low"/>
    <n v="95932"/>
    <n v="5600"/>
    <d v="2025-10-03T00:00:00"/>
    <d v="2025-10-03T00:00:00"/>
    <n v="0"/>
    <x v="1"/>
    <s v="No"/>
    <s v="Need settlement offer"/>
    <n v="0"/>
    <s v="On Time"/>
    <s v="Low"/>
    <n v="0"/>
    <x v="2"/>
  </r>
  <r>
    <s v="CUST_0263"/>
    <x v="2"/>
    <s v="Low"/>
    <n v="37482"/>
    <n v="4200"/>
    <d v="2025-10-14T00:00:00"/>
    <d v="2025-11-13T00:00:00"/>
    <n v="30"/>
    <x v="3"/>
    <s v="No"/>
    <s v="Will pay next week"/>
    <n v="1"/>
    <s v="Delayed"/>
    <s v="High"/>
    <n v="0"/>
    <x v="1"/>
  </r>
  <r>
    <s v="CUST_0264"/>
    <x v="0"/>
    <s v="Medium"/>
    <n v="43411"/>
    <n v="4300"/>
    <d v="2025-10-26T00:00:00"/>
    <d v="2025-11-10T00:00:00"/>
    <n v="15"/>
    <x v="2"/>
    <s v="No"/>
    <s v="Lost my job, need more time"/>
    <n v="1"/>
    <s v="Delayed"/>
    <s v="High"/>
    <n v="0"/>
    <x v="3"/>
  </r>
  <r>
    <s v="CUST_0265"/>
    <x v="1"/>
    <s v="Low"/>
    <n v="70975"/>
    <n v="3900"/>
    <d v="2025-10-19T00:00:00"/>
    <d v="2025-10-19T00:00:00"/>
    <n v="0"/>
    <x v="1"/>
    <s v="No"/>
    <s v="Lost my job, need more time"/>
    <n v="0"/>
    <s v="On Time"/>
    <s v="Low"/>
    <n v="0"/>
    <x v="0"/>
  </r>
  <r>
    <s v="CUST_0266"/>
    <x v="1"/>
    <s v="Medium"/>
    <n v="80545"/>
    <n v="4000"/>
    <d v="2025-10-05T00:00:00"/>
    <d v="2025-10-05T00:00:00"/>
    <n v="0"/>
    <x v="2"/>
    <s v="Yes"/>
    <s v="Will pay next week"/>
    <n v="0"/>
    <s v="On Time"/>
    <s v="Low"/>
    <n v="1"/>
    <x v="2"/>
  </r>
  <r>
    <s v="CUST_0267"/>
    <x v="0"/>
    <s v="Medium"/>
    <n v="98797"/>
    <n v="4700"/>
    <d v="2025-10-29T00:00:00"/>
    <d v="2025-11-13T00:00:00"/>
    <n v="15"/>
    <x v="3"/>
    <s v="No"/>
    <s v="Will clear dues soon"/>
    <n v="1"/>
    <s v="Delayed"/>
    <s v="High"/>
    <n v="0"/>
    <x v="2"/>
  </r>
  <r>
    <s v="CUST_0268"/>
    <x v="1"/>
    <s v="Medium"/>
    <n v="72307"/>
    <n v="4800"/>
    <d v="2025-10-05T00:00:00"/>
    <d v="2025-10-05T00:00:00"/>
    <n v="0"/>
    <x v="1"/>
    <s v="No"/>
    <s v="Cannot pay right now"/>
    <n v="0"/>
    <s v="On Time"/>
    <s v="Low"/>
    <n v="0"/>
    <x v="0"/>
  </r>
  <r>
    <s v="CUST_0269"/>
    <x v="0"/>
    <s v="Low"/>
    <n v="23093"/>
    <n v="1100"/>
    <d v="2025-10-20T00:00:00"/>
    <d v="2025-10-20T00:00:00"/>
    <n v="0"/>
    <x v="1"/>
    <s v="No"/>
    <s v="Cannot pay right now"/>
    <n v="0"/>
    <s v="On Time"/>
    <s v="Low"/>
    <n v="0"/>
    <x v="1"/>
  </r>
  <r>
    <s v="CUST_0270"/>
    <x v="0"/>
    <s v="Medium"/>
    <n v="97258"/>
    <n v="5700"/>
    <d v="2025-10-17T00:00:00"/>
    <d v="2025-11-01T00:00:00"/>
    <n v="15"/>
    <x v="3"/>
    <s v="No"/>
    <s v="Need settlement offer"/>
    <n v="1"/>
    <s v="Delayed"/>
    <s v="High"/>
    <n v="0"/>
    <x v="2"/>
  </r>
  <r>
    <s v="CUST_0271"/>
    <x v="1"/>
    <s v="Low"/>
    <n v="42042"/>
    <n v="1900"/>
    <d v="2025-10-21T00:00:00"/>
    <d v="2025-10-21T00:00:00"/>
    <n v="0"/>
    <x v="1"/>
    <s v="No"/>
    <s v="Will pay next week"/>
    <n v="0"/>
    <s v="On Time"/>
    <s v="Low"/>
    <n v="0"/>
    <x v="1"/>
  </r>
  <r>
    <s v="CUST_0272"/>
    <x v="1"/>
    <s v="Medium"/>
    <n v="72930"/>
    <n v="3500"/>
    <d v="2025-10-10T00:00:00"/>
    <d v="2025-10-10T00:00:00"/>
    <n v="0"/>
    <x v="1"/>
    <s v="No"/>
    <s v="Paid already"/>
    <n v="0"/>
    <s v="On Time"/>
    <s v="Low"/>
    <n v="0"/>
    <x v="0"/>
  </r>
  <r>
    <s v="CUST_0273"/>
    <x v="1"/>
    <s v="Low"/>
    <n v="64413"/>
    <n v="3800"/>
    <d v="2025-10-05T00:00:00"/>
    <d v="2025-10-05T00:00:00"/>
    <n v="0"/>
    <x v="2"/>
    <s v="No"/>
    <s v="Cannot pay right now"/>
    <n v="0"/>
    <s v="On Time"/>
    <s v="Low"/>
    <n v="0"/>
    <x v="0"/>
  </r>
  <r>
    <s v="CUST_0274"/>
    <x v="1"/>
    <s v="Low"/>
    <n v="53756"/>
    <n v="4100"/>
    <d v="2025-10-04T00:00:00"/>
    <d v="2025-10-19T00:00:00"/>
    <n v="15"/>
    <x v="0"/>
    <s v="No"/>
    <s v="Will pay next week"/>
    <n v="1"/>
    <s v="Delayed"/>
    <s v="High"/>
    <n v="0"/>
    <x v="3"/>
  </r>
  <r>
    <s v="CUST_0275"/>
    <x v="0"/>
    <s v="Medium"/>
    <n v="73268"/>
    <n v="9200"/>
    <d v="2025-10-06T00:00:00"/>
    <d v="2025-10-09T00:00:00"/>
    <n v="3"/>
    <x v="1"/>
    <s v="Yes"/>
    <s v="Will pay tomorrow"/>
    <n v="1"/>
    <s v="Delayed"/>
    <s v="Medium"/>
    <n v="1"/>
    <x v="0"/>
  </r>
  <r>
    <s v="CUST_0276"/>
    <x v="0"/>
    <s v="Low"/>
    <n v="59214"/>
    <n v="2800"/>
    <d v="2025-10-26T00:00:00"/>
    <d v="2025-10-26T00:00:00"/>
    <n v="0"/>
    <x v="1"/>
    <s v="No"/>
    <s v="No response"/>
    <n v="0"/>
    <s v="On Time"/>
    <s v="Low"/>
    <n v="0"/>
    <x v="3"/>
  </r>
  <r>
    <s v="CUST_0277"/>
    <x v="1"/>
    <s v="Low"/>
    <n v="48602"/>
    <n v="2700"/>
    <d v="2025-10-04T00:00:00"/>
    <d v="2025-10-04T00:00:00"/>
    <n v="0"/>
    <x v="1"/>
    <s v="No"/>
    <s v="Lost my job, need more time"/>
    <n v="0"/>
    <s v="On Time"/>
    <s v="Low"/>
    <n v="0"/>
    <x v="3"/>
  </r>
  <r>
    <s v="CUST_0278"/>
    <x v="0"/>
    <s v="Medium"/>
    <n v="73331"/>
    <n v="5600"/>
    <d v="2025-10-30T00:00:00"/>
    <d v="2025-10-30T00:00:00"/>
    <n v="0"/>
    <x v="3"/>
    <s v="No"/>
    <s v="Will pay tomorrow"/>
    <n v="0"/>
    <s v="On Time"/>
    <s v="Low"/>
    <n v="0"/>
    <x v="0"/>
  </r>
  <r>
    <s v="CUST_0279"/>
    <x v="1"/>
    <s v="Medium"/>
    <n v="68901"/>
    <n v="6900"/>
    <d v="2025-10-07T00:00:00"/>
    <d v="2025-10-10T00:00:00"/>
    <n v="3"/>
    <x v="3"/>
    <s v="Yes"/>
    <s v="Will clear dues soon"/>
    <n v="1"/>
    <s v="Delayed"/>
    <s v="Medium"/>
    <n v="1"/>
    <x v="0"/>
  </r>
  <r>
    <s v="CUST_0280"/>
    <x v="1"/>
    <s v="Medium"/>
    <n v="83416"/>
    <n v="6400"/>
    <d v="2025-10-07T00:00:00"/>
    <d v="2025-10-14T00:00:00"/>
    <n v="7"/>
    <x v="2"/>
    <s v="No"/>
    <s v="Dispute on EMI amount"/>
    <n v="1"/>
    <s v="Delayed"/>
    <s v="Medium"/>
    <n v="0"/>
    <x v="2"/>
  </r>
  <r>
    <s v="CUST_0281"/>
    <x v="1"/>
    <s v="Medium"/>
    <n v="52196"/>
    <n v="3100"/>
    <d v="2025-10-18T00:00:00"/>
    <d v="2025-10-18T00:00:00"/>
    <n v="0"/>
    <x v="3"/>
    <s v="No"/>
    <s v="Need settlement offer"/>
    <n v="0"/>
    <s v="On Time"/>
    <s v="Low"/>
    <n v="0"/>
    <x v="3"/>
  </r>
  <r>
    <s v="CUST_0282"/>
    <x v="0"/>
    <s v="Medium"/>
    <n v="25626"/>
    <n v="4300"/>
    <d v="2025-10-03T00:00:00"/>
    <d v="2025-11-02T00:00:00"/>
    <n v="30"/>
    <x v="2"/>
    <s v="No"/>
    <s v="Please stop calling"/>
    <n v="1"/>
    <s v="Delayed"/>
    <s v="High"/>
    <n v="0"/>
    <x v="1"/>
  </r>
  <r>
    <s v="CUST_0283"/>
    <x v="0"/>
    <s v="Low"/>
    <n v="27424"/>
    <n v="2500"/>
    <d v="2025-10-01T00:00:00"/>
    <d v="2025-10-01T00:00:00"/>
    <n v="0"/>
    <x v="0"/>
    <s v="No"/>
    <s v="Will clear dues soon"/>
    <n v="0"/>
    <s v="On Time"/>
    <s v="Low"/>
    <n v="0"/>
    <x v="1"/>
  </r>
  <r>
    <s v="CUST_0284"/>
    <x v="2"/>
    <s v="Low"/>
    <n v="32857"/>
    <n v="1400"/>
    <d v="2025-10-24T00:00:00"/>
    <d v="2025-10-24T00:00:00"/>
    <n v="0"/>
    <x v="1"/>
    <s v="No"/>
    <s v="Will pay next week"/>
    <n v="0"/>
    <s v="On Time"/>
    <s v="Low"/>
    <n v="0"/>
    <x v="1"/>
  </r>
  <r>
    <s v="CUST_0285"/>
    <x v="0"/>
    <s v="Low"/>
    <n v="39982"/>
    <n v="3100"/>
    <d v="2025-10-25T00:00:00"/>
    <d v="2025-10-25T00:00:00"/>
    <n v="0"/>
    <x v="1"/>
    <s v="Yes"/>
    <s v="No response"/>
    <n v="0"/>
    <s v="On Time"/>
    <s v="Low"/>
    <n v="1"/>
    <x v="1"/>
  </r>
  <r>
    <s v="CUST_0286"/>
    <x v="2"/>
    <s v="High"/>
    <n v="96961"/>
    <n v="8100"/>
    <d v="2025-10-04T00:00:00"/>
    <d v="2025-10-04T00:00:00"/>
    <n v="0"/>
    <x v="0"/>
    <s v="No"/>
    <s v="Need settlement offer"/>
    <n v="0"/>
    <s v="On Time"/>
    <s v="Low"/>
    <n v="0"/>
    <x v="2"/>
  </r>
  <r>
    <s v="CUST_0287"/>
    <x v="0"/>
    <s v="Medium"/>
    <n v="21980"/>
    <n v="3700"/>
    <d v="2025-10-06T00:00:00"/>
    <d v="2025-10-06T00:00:00"/>
    <n v="0"/>
    <x v="1"/>
    <s v="Yes"/>
    <s v="Dispute on EMI amount"/>
    <n v="0"/>
    <s v="On Time"/>
    <s v="Low"/>
    <n v="1"/>
    <x v="1"/>
  </r>
  <r>
    <s v="CUST_0288"/>
    <x v="0"/>
    <s v="Low"/>
    <n v="68290"/>
    <n v="3300"/>
    <d v="2025-10-09T00:00:00"/>
    <d v="2025-10-09T00:00:00"/>
    <n v="0"/>
    <x v="2"/>
    <s v="No"/>
    <s v="Will pay tomorrow"/>
    <n v="0"/>
    <s v="On Time"/>
    <s v="Low"/>
    <n v="0"/>
    <x v="0"/>
  </r>
  <r>
    <s v="CUST_0289"/>
    <x v="0"/>
    <s v="Low"/>
    <n v="46431"/>
    <n v="2700"/>
    <d v="2025-10-22T00:00:00"/>
    <d v="2025-10-22T00:00:00"/>
    <n v="0"/>
    <x v="3"/>
    <s v="No"/>
    <s v="Will pay next week"/>
    <n v="0"/>
    <s v="On Time"/>
    <s v="Low"/>
    <n v="0"/>
    <x v="3"/>
  </r>
  <r>
    <s v="CUST_0290"/>
    <x v="0"/>
    <s v="High"/>
    <n v="46385"/>
    <n v="4200"/>
    <d v="2025-10-14T00:00:00"/>
    <d v="2025-10-17T00:00:00"/>
    <n v="3"/>
    <x v="2"/>
    <s v="No"/>
    <s v="Lost my job, need more time"/>
    <n v="1"/>
    <s v="Delayed"/>
    <s v="Medium"/>
    <n v="0"/>
    <x v="3"/>
  </r>
  <r>
    <s v="CUST_0291"/>
    <x v="2"/>
    <s v="Low"/>
    <n v="58158"/>
    <n v="8300"/>
    <d v="2025-10-28T00:00:00"/>
    <d v="2025-10-28T00:00:00"/>
    <n v="0"/>
    <x v="1"/>
    <s v="No"/>
    <s v="Lost my job, need more time"/>
    <n v="0"/>
    <s v="On Time"/>
    <s v="Low"/>
    <n v="0"/>
    <x v="3"/>
  </r>
  <r>
    <s v="CUST_0292"/>
    <x v="2"/>
    <s v="Medium"/>
    <n v="43019"/>
    <n v="2300"/>
    <d v="2025-10-12T00:00:00"/>
    <d v="2025-10-19T00:00:00"/>
    <n v="7"/>
    <x v="2"/>
    <s v="No"/>
    <s v="Lost my job, need more time"/>
    <n v="1"/>
    <s v="Delayed"/>
    <s v="Medium"/>
    <n v="0"/>
    <x v="3"/>
  </r>
  <r>
    <s v="CUST_0293"/>
    <x v="1"/>
    <s v="Medium"/>
    <n v="38639"/>
    <n v="4300"/>
    <d v="2025-10-28T00:00:00"/>
    <d v="2025-12-12T00:00:00"/>
    <n v="45"/>
    <x v="1"/>
    <s v="No"/>
    <s v="Please stop calling"/>
    <n v="1"/>
    <s v="Delayed"/>
    <s v="High"/>
    <n v="0"/>
    <x v="1"/>
  </r>
  <r>
    <s v="CUST_0294"/>
    <x v="0"/>
    <s v="Medium"/>
    <n v="41563"/>
    <n v="6900"/>
    <d v="2025-10-25T00:00:00"/>
    <d v="2025-10-25T00:00:00"/>
    <n v="0"/>
    <x v="3"/>
    <s v="Yes"/>
    <s v="Will pay tomorrow"/>
    <n v="0"/>
    <s v="On Time"/>
    <s v="Low"/>
    <n v="1"/>
    <x v="1"/>
  </r>
  <r>
    <s v="CUST_0295"/>
    <x v="2"/>
    <s v="Low"/>
    <n v="59341"/>
    <n v="2600"/>
    <d v="2025-10-20T00:00:00"/>
    <d v="2025-10-20T00:00:00"/>
    <n v="0"/>
    <x v="1"/>
    <s v="No"/>
    <s v="Will pay tomorrow"/>
    <n v="0"/>
    <s v="On Time"/>
    <s v="Low"/>
    <n v="0"/>
    <x v="3"/>
  </r>
  <r>
    <s v="CUST_0296"/>
    <x v="0"/>
    <s v="Medium"/>
    <n v="25776"/>
    <n v="1400"/>
    <d v="2025-10-24T00:00:00"/>
    <d v="2025-10-24T00:00:00"/>
    <n v="0"/>
    <x v="1"/>
    <s v="No"/>
    <s v="Need settlement offer"/>
    <n v="0"/>
    <s v="On Time"/>
    <s v="Low"/>
    <n v="0"/>
    <x v="1"/>
  </r>
  <r>
    <s v="CUST_0297"/>
    <x v="1"/>
    <s v="High"/>
    <n v="56444"/>
    <n v="8100"/>
    <d v="2025-10-25T00:00:00"/>
    <d v="2025-10-25T00:00:00"/>
    <n v="0"/>
    <x v="1"/>
    <s v="No"/>
    <s v="Lost my job, need more time"/>
    <n v="0"/>
    <s v="On Time"/>
    <s v="Low"/>
    <n v="0"/>
    <x v="3"/>
  </r>
  <r>
    <s v="CUST_0298"/>
    <x v="0"/>
    <s v="Medium"/>
    <n v="88916"/>
    <n v="6400"/>
    <d v="2025-10-04T00:00:00"/>
    <d v="2025-10-04T00:00:00"/>
    <n v="0"/>
    <x v="0"/>
    <s v="No"/>
    <s v="No response"/>
    <n v="0"/>
    <s v="On Time"/>
    <s v="Low"/>
    <n v="0"/>
    <x v="2"/>
  </r>
  <r>
    <s v="CUST_0299"/>
    <x v="0"/>
    <s v="Medium"/>
    <n v="28711"/>
    <n v="4100"/>
    <d v="2025-10-21T00:00:00"/>
    <d v="2025-10-28T00:00:00"/>
    <n v="7"/>
    <x v="1"/>
    <s v="No"/>
    <s v="Will clear dues soon"/>
    <n v="1"/>
    <s v="Delayed"/>
    <s v="Medium"/>
    <n v="0"/>
    <x v="1"/>
  </r>
  <r>
    <s v="CUST_0300"/>
    <x v="2"/>
    <s v="High"/>
    <n v="94318"/>
    <n v="6700"/>
    <d v="2025-10-30T00:00:00"/>
    <d v="2025-11-02T00:00:00"/>
    <n v="3"/>
    <x v="0"/>
    <s v="No"/>
    <s v="No response"/>
    <n v="1"/>
    <s v="Delayed"/>
    <s v="Medium"/>
    <n v="0"/>
    <x v="2"/>
  </r>
  <r>
    <s v="CUST_0301"/>
    <x v="2"/>
    <s v="Medium"/>
    <n v="50707"/>
    <n v="8500"/>
    <d v="2025-10-24T00:00:00"/>
    <d v="2025-10-24T00:00:00"/>
    <n v="0"/>
    <x v="0"/>
    <s v="Yes"/>
    <s v="Paid already"/>
    <n v="0"/>
    <s v="On Time"/>
    <s v="Low"/>
    <n v="1"/>
    <x v="3"/>
  </r>
  <r>
    <s v="CUST_0302"/>
    <x v="0"/>
    <s v="Low"/>
    <n v="59110"/>
    <n v="3700"/>
    <d v="2025-10-12T00:00:00"/>
    <d v="2025-10-27T00:00:00"/>
    <n v="15"/>
    <x v="1"/>
    <s v="No"/>
    <s v="Please stop calling"/>
    <n v="1"/>
    <s v="Delayed"/>
    <s v="High"/>
    <n v="0"/>
    <x v="3"/>
  </r>
  <r>
    <s v="CUST_0303"/>
    <x v="0"/>
    <s v="Medium"/>
    <n v="81788"/>
    <n v="10200"/>
    <d v="2025-10-10T00:00:00"/>
    <d v="2025-10-10T00:00:00"/>
    <n v="0"/>
    <x v="1"/>
    <s v="No"/>
    <s v="Will clear dues soon"/>
    <n v="0"/>
    <s v="On Time"/>
    <s v="Low"/>
    <n v="0"/>
    <x v="2"/>
  </r>
  <r>
    <s v="CUST_0304"/>
    <x v="0"/>
    <s v="Medium"/>
    <n v="58827"/>
    <n v="6500"/>
    <d v="2025-10-30T00:00:00"/>
    <d v="2025-11-14T00:00:00"/>
    <n v="15"/>
    <x v="3"/>
    <s v="Yes"/>
    <s v="Will clear dues soon"/>
    <n v="1"/>
    <s v="Delayed"/>
    <s v="High"/>
    <n v="1"/>
    <x v="3"/>
  </r>
  <r>
    <s v="CUST_0305"/>
    <x v="1"/>
    <s v="Low"/>
    <n v="25655"/>
    <n v="1100"/>
    <d v="2025-10-22T00:00:00"/>
    <d v="2025-10-25T00:00:00"/>
    <n v="3"/>
    <x v="2"/>
    <s v="Yes"/>
    <s v="Will clear dues soon"/>
    <n v="1"/>
    <s v="Delayed"/>
    <s v="Medium"/>
    <n v="1"/>
    <x v="1"/>
  </r>
  <r>
    <s v="CUST_0306"/>
    <x v="1"/>
    <s v="Medium"/>
    <n v="64859"/>
    <n v="5900"/>
    <d v="2025-10-28T00:00:00"/>
    <d v="2025-10-31T00:00:00"/>
    <n v="3"/>
    <x v="2"/>
    <s v="Yes"/>
    <s v="Lost my job, need more time"/>
    <n v="1"/>
    <s v="Delayed"/>
    <s v="Medium"/>
    <n v="1"/>
    <x v="0"/>
  </r>
  <r>
    <s v="CUST_0307"/>
    <x v="0"/>
    <s v="High"/>
    <n v="73625"/>
    <n v="9200"/>
    <d v="2025-10-07T00:00:00"/>
    <d v="2025-10-07T00:00:00"/>
    <n v="0"/>
    <x v="3"/>
    <s v="No"/>
    <s v="Need settlement offer"/>
    <n v="0"/>
    <s v="On Time"/>
    <s v="Low"/>
    <n v="0"/>
    <x v="0"/>
  </r>
  <r>
    <s v="CUST_0308"/>
    <x v="0"/>
    <s v="High"/>
    <n v="72098"/>
    <n v="4500"/>
    <d v="2025-10-03T00:00:00"/>
    <d v="2025-10-03T00:00:00"/>
    <n v="0"/>
    <x v="3"/>
    <s v="No"/>
    <s v="Dispute on EMI amount"/>
    <n v="0"/>
    <s v="On Time"/>
    <s v="Low"/>
    <n v="0"/>
    <x v="0"/>
  </r>
  <r>
    <s v="CUST_0309"/>
    <x v="1"/>
    <s v="Low"/>
    <n v="35251"/>
    <n v="1800"/>
    <d v="2025-10-23T00:00:00"/>
    <d v="2025-12-07T00:00:00"/>
    <n v="45"/>
    <x v="0"/>
    <s v="Yes"/>
    <s v="Will clear dues soon"/>
    <n v="1"/>
    <s v="Delayed"/>
    <s v="High"/>
    <n v="1"/>
    <x v="1"/>
  </r>
  <r>
    <s v="CUST_0310"/>
    <x v="0"/>
    <s v="Low"/>
    <n v="20526"/>
    <n v="2100"/>
    <d v="2025-10-28T00:00:00"/>
    <d v="2025-10-28T00:00:00"/>
    <n v="0"/>
    <x v="0"/>
    <s v="Yes"/>
    <s v="Cannot pay right now"/>
    <n v="0"/>
    <s v="On Time"/>
    <s v="Low"/>
    <n v="1"/>
    <x v="1"/>
  </r>
  <r>
    <s v="CUST_0311"/>
    <x v="0"/>
    <s v="High"/>
    <n v="88760"/>
    <n v="5900"/>
    <d v="2025-10-14T00:00:00"/>
    <d v="2025-11-28T00:00:00"/>
    <n v="45"/>
    <x v="1"/>
    <s v="No"/>
    <s v="Paid already"/>
    <n v="1"/>
    <s v="Delayed"/>
    <s v="High"/>
    <n v="0"/>
    <x v="2"/>
  </r>
  <r>
    <s v="CUST_0312"/>
    <x v="2"/>
    <s v="Medium"/>
    <n v="67837"/>
    <n v="4000"/>
    <d v="2025-10-24T00:00:00"/>
    <d v="2025-10-24T00:00:00"/>
    <n v="0"/>
    <x v="2"/>
    <s v="No"/>
    <s v="Lost my job, need more time"/>
    <n v="0"/>
    <s v="On Time"/>
    <s v="Low"/>
    <n v="0"/>
    <x v="0"/>
  </r>
  <r>
    <s v="CUST_0313"/>
    <x v="2"/>
    <s v="Low"/>
    <n v="31536"/>
    <n v="1600"/>
    <d v="2025-10-10T00:00:00"/>
    <d v="2025-10-10T00:00:00"/>
    <n v="0"/>
    <x v="3"/>
    <s v="No"/>
    <s v="No response"/>
    <n v="0"/>
    <s v="On Time"/>
    <s v="Low"/>
    <n v="0"/>
    <x v="1"/>
  </r>
  <r>
    <s v="CUST_0314"/>
    <x v="1"/>
    <s v="High"/>
    <n v="48541"/>
    <n v="2200"/>
    <d v="2025-10-16T00:00:00"/>
    <d v="2025-10-16T00:00:00"/>
    <n v="0"/>
    <x v="3"/>
    <s v="No"/>
    <s v="Lost my job, need more time"/>
    <n v="0"/>
    <s v="On Time"/>
    <s v="Low"/>
    <n v="0"/>
    <x v="3"/>
  </r>
  <r>
    <s v="CUST_0315"/>
    <x v="1"/>
    <s v="Medium"/>
    <n v="99083"/>
    <n v="6600"/>
    <d v="2025-10-16T00:00:00"/>
    <d v="2025-10-16T00:00:00"/>
    <n v="0"/>
    <x v="3"/>
    <s v="No"/>
    <s v="Cannot pay right now"/>
    <n v="0"/>
    <s v="On Time"/>
    <s v="Low"/>
    <n v="0"/>
    <x v="2"/>
  </r>
  <r>
    <s v="CUST_0316"/>
    <x v="0"/>
    <s v="Medium"/>
    <n v="71027"/>
    <n v="6500"/>
    <d v="2025-10-22T00:00:00"/>
    <d v="2025-11-21T00:00:00"/>
    <n v="30"/>
    <x v="3"/>
    <s v="No"/>
    <s v="Please stop calling"/>
    <n v="1"/>
    <s v="Delayed"/>
    <s v="High"/>
    <n v="0"/>
    <x v="0"/>
  </r>
  <r>
    <s v="CUST_0317"/>
    <x v="0"/>
    <s v="Medium"/>
    <n v="54531"/>
    <n v="2400"/>
    <d v="2025-10-10T00:00:00"/>
    <d v="2025-10-10T00:00:00"/>
    <n v="0"/>
    <x v="3"/>
    <s v="No"/>
    <s v="Dispute on EMI amount"/>
    <n v="0"/>
    <s v="On Time"/>
    <s v="Low"/>
    <n v="0"/>
    <x v="3"/>
  </r>
  <r>
    <s v="CUST_0318"/>
    <x v="2"/>
    <s v="Low"/>
    <n v="28712"/>
    <n v="1600"/>
    <d v="2025-10-25T00:00:00"/>
    <d v="2025-10-25T00:00:00"/>
    <n v="0"/>
    <x v="0"/>
    <s v="No"/>
    <s v="Please stop calling"/>
    <n v="0"/>
    <s v="On Time"/>
    <s v="Low"/>
    <n v="0"/>
    <x v="1"/>
  </r>
  <r>
    <s v="CUST_0319"/>
    <x v="2"/>
    <s v="Low"/>
    <n v="85455"/>
    <n v="10700"/>
    <d v="2025-10-13T00:00:00"/>
    <d v="2025-10-13T00:00:00"/>
    <n v="0"/>
    <x v="1"/>
    <s v="No"/>
    <s v="Will pay next week"/>
    <n v="0"/>
    <s v="On Time"/>
    <s v="Low"/>
    <n v="0"/>
    <x v="2"/>
  </r>
  <r>
    <s v="CUST_0320"/>
    <x v="0"/>
    <s v="Low"/>
    <n v="94744"/>
    <n v="6300"/>
    <d v="2025-10-06T00:00:00"/>
    <d v="2025-10-06T00:00:00"/>
    <n v="0"/>
    <x v="3"/>
    <s v="No"/>
    <s v="Dispute on EMI amount"/>
    <n v="0"/>
    <s v="On Time"/>
    <s v="Low"/>
    <n v="0"/>
    <x v="2"/>
  </r>
  <r>
    <s v="CUST_0321"/>
    <x v="0"/>
    <s v="Medium"/>
    <n v="25109"/>
    <n v="1300"/>
    <d v="2025-10-12T00:00:00"/>
    <d v="2025-10-12T00:00:00"/>
    <n v="0"/>
    <x v="3"/>
    <s v="Yes"/>
    <s v="Dispute on EMI amount"/>
    <n v="0"/>
    <s v="On Time"/>
    <s v="Low"/>
    <n v="1"/>
    <x v="1"/>
  </r>
  <r>
    <s v="CUST_0322"/>
    <x v="1"/>
    <s v="Low"/>
    <n v="69268"/>
    <n v="6300"/>
    <d v="2025-10-09T00:00:00"/>
    <d v="2025-10-09T00:00:00"/>
    <n v="0"/>
    <x v="2"/>
    <s v="No"/>
    <s v="Paid already"/>
    <n v="0"/>
    <s v="On Time"/>
    <s v="Low"/>
    <n v="0"/>
    <x v="0"/>
  </r>
  <r>
    <s v="CUST_0323"/>
    <x v="0"/>
    <s v="Low"/>
    <n v="74615"/>
    <n v="9300"/>
    <d v="2025-10-13T00:00:00"/>
    <d v="2025-10-28T00:00:00"/>
    <n v="15"/>
    <x v="3"/>
    <s v="No"/>
    <s v="Will pay next week"/>
    <n v="1"/>
    <s v="Delayed"/>
    <s v="High"/>
    <n v="0"/>
    <x v="0"/>
  </r>
  <r>
    <s v="CUST_0324"/>
    <x v="0"/>
    <s v="Low"/>
    <n v="49759"/>
    <n v="2400"/>
    <d v="2025-10-04T00:00:00"/>
    <d v="2025-10-04T00:00:00"/>
    <n v="0"/>
    <x v="0"/>
    <s v="No"/>
    <s v="Please stop calling"/>
    <n v="0"/>
    <s v="On Time"/>
    <s v="Low"/>
    <n v="0"/>
    <x v="3"/>
  </r>
  <r>
    <s v="CUST_0325"/>
    <x v="1"/>
    <s v="Medium"/>
    <n v="80112"/>
    <n v="6700"/>
    <d v="2025-10-24T00:00:00"/>
    <d v="2025-10-24T00:00:00"/>
    <n v="0"/>
    <x v="2"/>
    <s v="Yes"/>
    <s v="Will pay tomorrow"/>
    <n v="0"/>
    <s v="On Time"/>
    <s v="Low"/>
    <n v="1"/>
    <x v="0"/>
  </r>
  <r>
    <s v="CUST_0326"/>
    <x v="1"/>
    <s v="High"/>
    <n v="46589"/>
    <n v="2500"/>
    <d v="2025-10-11T00:00:00"/>
    <d v="2025-10-11T00:00:00"/>
    <n v="0"/>
    <x v="2"/>
    <s v="No"/>
    <s v="Need settlement offer"/>
    <n v="0"/>
    <s v="On Time"/>
    <s v="Low"/>
    <n v="0"/>
    <x v="3"/>
  </r>
  <r>
    <s v="CUST_0327"/>
    <x v="0"/>
    <s v="Low"/>
    <n v="50015"/>
    <n v="3600"/>
    <d v="2025-10-20T00:00:00"/>
    <d v="2025-10-20T00:00:00"/>
    <n v="0"/>
    <x v="2"/>
    <s v="No"/>
    <s v="Lost my job, need more time"/>
    <n v="0"/>
    <s v="On Time"/>
    <s v="Low"/>
    <n v="0"/>
    <x v="3"/>
  </r>
  <r>
    <s v="CUST_0328"/>
    <x v="0"/>
    <s v="Low"/>
    <n v="49009"/>
    <n v="2500"/>
    <d v="2025-10-18T00:00:00"/>
    <d v="2025-12-17T00:00:00"/>
    <n v="60"/>
    <x v="3"/>
    <s v="Yes"/>
    <s v="No response"/>
    <n v="1"/>
    <s v="Delayed"/>
    <s v="High"/>
    <n v="1"/>
    <x v="3"/>
  </r>
  <r>
    <s v="CUST_0329"/>
    <x v="0"/>
    <s v="Medium"/>
    <n v="82046"/>
    <n v="10300"/>
    <d v="2025-10-26T00:00:00"/>
    <d v="2025-10-26T00:00:00"/>
    <n v="0"/>
    <x v="1"/>
    <s v="No"/>
    <s v="Please stop calling"/>
    <n v="0"/>
    <s v="On Time"/>
    <s v="Low"/>
    <n v="0"/>
    <x v="2"/>
  </r>
  <r>
    <s v="CUST_0330"/>
    <x v="0"/>
    <s v="Low"/>
    <n v="46143"/>
    <n v="6600"/>
    <d v="2025-10-11T00:00:00"/>
    <d v="2025-10-11T00:00:00"/>
    <n v="0"/>
    <x v="1"/>
    <s v="No"/>
    <s v="Paid already"/>
    <n v="0"/>
    <s v="On Time"/>
    <s v="Low"/>
    <n v="0"/>
    <x v="3"/>
  </r>
  <r>
    <s v="CUST_0331"/>
    <x v="0"/>
    <s v="Low"/>
    <n v="26154"/>
    <n v="3700"/>
    <d v="2025-10-25T00:00:00"/>
    <d v="2025-10-28T00:00:00"/>
    <n v="3"/>
    <x v="1"/>
    <s v="No"/>
    <s v="No response"/>
    <n v="1"/>
    <s v="Delayed"/>
    <s v="Medium"/>
    <n v="0"/>
    <x v="1"/>
  </r>
  <r>
    <s v="CUST_0332"/>
    <x v="1"/>
    <s v="Low"/>
    <n v="41804"/>
    <n v="5200"/>
    <d v="2025-10-21T00:00:00"/>
    <d v="2025-10-21T00:00:00"/>
    <n v="0"/>
    <x v="3"/>
    <s v="Yes"/>
    <s v="No response"/>
    <n v="0"/>
    <s v="On Time"/>
    <s v="Low"/>
    <n v="1"/>
    <x v="1"/>
  </r>
  <r>
    <s v="CUST_0333"/>
    <x v="2"/>
    <s v="Low"/>
    <n v="61688"/>
    <n v="2700"/>
    <d v="2025-10-04T00:00:00"/>
    <d v="2025-10-04T00:00:00"/>
    <n v="0"/>
    <x v="2"/>
    <s v="No"/>
    <s v="Cannot pay right now"/>
    <n v="0"/>
    <s v="On Time"/>
    <s v="Low"/>
    <n v="0"/>
    <x v="0"/>
  </r>
  <r>
    <s v="CUST_0334"/>
    <x v="2"/>
    <s v="Low"/>
    <n v="84288"/>
    <n v="4400"/>
    <d v="2025-10-18T00:00:00"/>
    <d v="2025-12-02T00:00:00"/>
    <n v="45"/>
    <x v="2"/>
    <s v="No"/>
    <s v="Will pay tomorrow"/>
    <n v="1"/>
    <s v="Delayed"/>
    <s v="High"/>
    <n v="0"/>
    <x v="2"/>
  </r>
  <r>
    <s v="CUST_0335"/>
    <x v="2"/>
    <s v="Low"/>
    <n v="71195"/>
    <n v="3100"/>
    <d v="2025-10-01T00:00:00"/>
    <d v="2025-10-08T00:00:00"/>
    <n v="7"/>
    <x v="0"/>
    <s v="No"/>
    <s v="Need settlement offer"/>
    <n v="1"/>
    <s v="Delayed"/>
    <s v="Medium"/>
    <n v="0"/>
    <x v="0"/>
  </r>
  <r>
    <s v="CUST_0336"/>
    <x v="2"/>
    <s v="Low"/>
    <n v="40581"/>
    <n v="2700"/>
    <d v="2025-10-27T00:00:00"/>
    <d v="2025-12-26T00:00:00"/>
    <n v="60"/>
    <x v="2"/>
    <s v="No"/>
    <s v="Please stop calling"/>
    <n v="1"/>
    <s v="Delayed"/>
    <s v="High"/>
    <n v="0"/>
    <x v="1"/>
  </r>
  <r>
    <s v="CUST_0337"/>
    <x v="1"/>
    <s v="High"/>
    <n v="72648"/>
    <n v="10400"/>
    <d v="2025-10-07T00:00:00"/>
    <d v="2025-10-07T00:00:00"/>
    <n v="0"/>
    <x v="2"/>
    <s v="No"/>
    <s v="Will pay next week"/>
    <n v="0"/>
    <s v="On Time"/>
    <s v="Low"/>
    <n v="0"/>
    <x v="0"/>
  </r>
  <r>
    <s v="CUST_0338"/>
    <x v="1"/>
    <s v="Low"/>
    <n v="50087"/>
    <n v="8300"/>
    <d v="2025-10-06T00:00:00"/>
    <d v="2025-10-06T00:00:00"/>
    <n v="0"/>
    <x v="1"/>
    <s v="No"/>
    <s v="Lost my job, need more time"/>
    <n v="0"/>
    <s v="On Time"/>
    <s v="Low"/>
    <n v="0"/>
    <x v="3"/>
  </r>
  <r>
    <s v="CUST_0339"/>
    <x v="0"/>
    <s v="Medium"/>
    <n v="69930"/>
    <n v="7800"/>
    <d v="2025-10-15T00:00:00"/>
    <d v="2025-10-15T00:00:00"/>
    <n v="0"/>
    <x v="1"/>
    <s v="No"/>
    <s v="Lost my job, need more time"/>
    <n v="0"/>
    <s v="On Time"/>
    <s v="Low"/>
    <n v="0"/>
    <x v="0"/>
  </r>
  <r>
    <s v="CUST_0340"/>
    <x v="2"/>
    <s v="Medium"/>
    <n v="52981"/>
    <n v="2800"/>
    <d v="2025-10-18T00:00:00"/>
    <d v="2025-10-18T00:00:00"/>
    <n v="0"/>
    <x v="2"/>
    <s v="No"/>
    <s v="Paid already"/>
    <n v="0"/>
    <s v="On Time"/>
    <s v="Low"/>
    <n v="0"/>
    <x v="3"/>
  </r>
  <r>
    <s v="CUST_0341"/>
    <x v="0"/>
    <s v="Low"/>
    <n v="89298"/>
    <n v="14900"/>
    <d v="2025-10-24T00:00:00"/>
    <d v="2025-11-08T00:00:00"/>
    <n v="15"/>
    <x v="2"/>
    <s v="Yes"/>
    <s v="Dispute on EMI amount"/>
    <n v="1"/>
    <s v="Delayed"/>
    <s v="High"/>
    <n v="1"/>
    <x v="2"/>
  </r>
  <r>
    <s v="CUST_0342"/>
    <x v="0"/>
    <s v="Medium"/>
    <n v="66167"/>
    <n v="3500"/>
    <d v="2025-10-11T00:00:00"/>
    <d v="2025-10-11T00:00:00"/>
    <n v="0"/>
    <x v="2"/>
    <s v="No"/>
    <s v="No response"/>
    <n v="0"/>
    <s v="On Time"/>
    <s v="Low"/>
    <n v="0"/>
    <x v="0"/>
  </r>
  <r>
    <s v="CUST_0343"/>
    <x v="2"/>
    <s v="Low"/>
    <n v="95304"/>
    <n v="4500"/>
    <d v="2025-10-20T00:00:00"/>
    <d v="2025-11-04T00:00:00"/>
    <n v="15"/>
    <x v="0"/>
    <s v="No"/>
    <s v="Cannot pay right now"/>
    <n v="1"/>
    <s v="Delayed"/>
    <s v="High"/>
    <n v="0"/>
    <x v="2"/>
  </r>
  <r>
    <s v="CUST_0344"/>
    <x v="0"/>
    <s v="High"/>
    <n v="63408"/>
    <n v="3300"/>
    <d v="2025-10-24T00:00:00"/>
    <d v="2025-10-31T00:00:00"/>
    <n v="7"/>
    <x v="2"/>
    <s v="No"/>
    <s v="Cannot pay right now"/>
    <n v="1"/>
    <s v="Delayed"/>
    <s v="Medium"/>
    <n v="0"/>
    <x v="0"/>
  </r>
  <r>
    <s v="CUST_0345"/>
    <x v="0"/>
    <s v="Low"/>
    <n v="59499"/>
    <n v="7400"/>
    <d v="2025-10-15T00:00:00"/>
    <d v="2025-10-15T00:00:00"/>
    <n v="0"/>
    <x v="0"/>
    <s v="Yes"/>
    <s v="Will pay next week"/>
    <n v="0"/>
    <s v="On Time"/>
    <s v="Low"/>
    <n v="1"/>
    <x v="3"/>
  </r>
  <r>
    <s v="CUST_0346"/>
    <x v="0"/>
    <s v="Low"/>
    <n v="72269"/>
    <n v="9000"/>
    <d v="2025-10-16T00:00:00"/>
    <d v="2025-10-16T00:00:00"/>
    <n v="0"/>
    <x v="2"/>
    <s v="No"/>
    <s v="Cannot pay right now"/>
    <n v="0"/>
    <s v="On Time"/>
    <s v="Low"/>
    <n v="0"/>
    <x v="0"/>
  </r>
  <r>
    <s v="CUST_0347"/>
    <x v="0"/>
    <s v="Low"/>
    <n v="58559"/>
    <n v="4200"/>
    <d v="2025-10-07T00:00:00"/>
    <d v="2025-10-10T00:00:00"/>
    <n v="3"/>
    <x v="0"/>
    <s v="No"/>
    <s v="No response"/>
    <n v="1"/>
    <s v="Delayed"/>
    <s v="Medium"/>
    <n v="0"/>
    <x v="3"/>
  </r>
  <r>
    <s v="CUST_0348"/>
    <x v="2"/>
    <s v="High"/>
    <n v="94319"/>
    <n v="8600"/>
    <d v="2025-10-21T00:00:00"/>
    <d v="2025-10-21T00:00:00"/>
    <n v="0"/>
    <x v="1"/>
    <s v="Yes"/>
    <s v="Will clear dues soon"/>
    <n v="0"/>
    <s v="On Time"/>
    <s v="Low"/>
    <n v="1"/>
    <x v="2"/>
  </r>
  <r>
    <s v="CUST_0349"/>
    <x v="0"/>
    <s v="Medium"/>
    <n v="68787"/>
    <n v="3800"/>
    <d v="2025-10-10T00:00:00"/>
    <d v="2025-10-25T00:00:00"/>
    <n v="15"/>
    <x v="2"/>
    <s v="Yes"/>
    <s v="Dispute on EMI amount"/>
    <n v="1"/>
    <s v="Delayed"/>
    <s v="High"/>
    <n v="1"/>
    <x v="0"/>
  </r>
  <r>
    <s v="CUST_0350"/>
    <x v="0"/>
    <s v="Medium"/>
    <n v="55488"/>
    <n v="7900"/>
    <d v="2025-10-26T00:00:00"/>
    <d v="2025-10-26T00:00:00"/>
    <n v="0"/>
    <x v="0"/>
    <s v="Yes"/>
    <s v="Will clear dues soon"/>
    <n v="0"/>
    <s v="On Time"/>
    <s v="Low"/>
    <n v="1"/>
    <x v="3"/>
  </r>
  <r>
    <s v="CUST_0351"/>
    <x v="0"/>
    <s v="Low"/>
    <n v="94441"/>
    <n v="7300"/>
    <d v="2025-10-12T00:00:00"/>
    <d v="2025-10-12T00:00:00"/>
    <n v="0"/>
    <x v="3"/>
    <s v="No"/>
    <s v="Dispute on EMI amount"/>
    <n v="0"/>
    <s v="On Time"/>
    <s v="Low"/>
    <n v="0"/>
    <x v="2"/>
  </r>
  <r>
    <s v="CUST_0352"/>
    <x v="1"/>
    <s v="Medium"/>
    <n v="94663"/>
    <n v="13500"/>
    <d v="2025-10-24T00:00:00"/>
    <d v="2025-10-27T00:00:00"/>
    <n v="3"/>
    <x v="0"/>
    <s v="Yes"/>
    <s v="Will pay tomorrow"/>
    <n v="1"/>
    <s v="Delayed"/>
    <s v="Medium"/>
    <n v="1"/>
    <x v="2"/>
  </r>
  <r>
    <s v="CUST_0353"/>
    <x v="0"/>
    <s v="Low"/>
    <n v="42431"/>
    <n v="4700"/>
    <d v="2025-10-14T00:00:00"/>
    <d v="2025-12-13T00:00:00"/>
    <n v="60"/>
    <x v="1"/>
    <s v="Yes"/>
    <s v="Will pay tomorrow"/>
    <n v="1"/>
    <s v="Delayed"/>
    <s v="High"/>
    <n v="1"/>
    <x v="1"/>
  </r>
  <r>
    <s v="CUST_0354"/>
    <x v="2"/>
    <s v="Medium"/>
    <n v="81681"/>
    <n v="4100"/>
    <d v="2025-10-25T00:00:00"/>
    <d v="2025-10-25T00:00:00"/>
    <n v="0"/>
    <x v="3"/>
    <s v="No"/>
    <s v="Will pay next week"/>
    <n v="0"/>
    <s v="On Time"/>
    <s v="Low"/>
    <n v="0"/>
    <x v="2"/>
  </r>
  <r>
    <s v="CUST_0355"/>
    <x v="2"/>
    <s v="Low"/>
    <n v="83483"/>
    <n v="9300"/>
    <d v="2025-10-05T00:00:00"/>
    <d v="2025-10-20T00:00:00"/>
    <n v="15"/>
    <x v="1"/>
    <s v="No"/>
    <s v="Will clear dues soon"/>
    <n v="1"/>
    <s v="Delayed"/>
    <s v="High"/>
    <n v="0"/>
    <x v="2"/>
  </r>
  <r>
    <s v="CUST_0356"/>
    <x v="0"/>
    <s v="Low"/>
    <n v="69153"/>
    <n v="3800"/>
    <d v="2025-10-26T00:00:00"/>
    <d v="2025-10-26T00:00:00"/>
    <n v="0"/>
    <x v="0"/>
    <s v="Yes"/>
    <s v="Will pay tomorrow"/>
    <n v="0"/>
    <s v="On Time"/>
    <s v="Low"/>
    <n v="1"/>
    <x v="0"/>
  </r>
  <r>
    <s v="CUST_0357"/>
    <x v="2"/>
    <s v="Low"/>
    <n v="26368"/>
    <n v="1600"/>
    <d v="2025-10-21T00:00:00"/>
    <d v="2025-10-28T00:00:00"/>
    <n v="7"/>
    <x v="3"/>
    <s v="Yes"/>
    <s v="Will pay tomorrow"/>
    <n v="1"/>
    <s v="Delayed"/>
    <s v="Medium"/>
    <n v="1"/>
    <x v="1"/>
  </r>
  <r>
    <s v="CUST_0358"/>
    <x v="0"/>
    <s v="Low"/>
    <n v="47424"/>
    <n v="2600"/>
    <d v="2025-10-18T00:00:00"/>
    <d v="2025-10-25T00:00:00"/>
    <n v="7"/>
    <x v="2"/>
    <s v="Yes"/>
    <s v="Will pay tomorrow"/>
    <n v="1"/>
    <s v="Delayed"/>
    <s v="Medium"/>
    <n v="1"/>
    <x v="3"/>
  </r>
  <r>
    <s v="CUST_0359"/>
    <x v="1"/>
    <s v="Medium"/>
    <n v="65004"/>
    <n v="3400"/>
    <d v="2025-10-05T00:00:00"/>
    <d v="2025-10-05T00:00:00"/>
    <n v="0"/>
    <x v="1"/>
    <s v="Yes"/>
    <s v="Lost my job, need more time"/>
    <n v="0"/>
    <s v="On Time"/>
    <s v="Low"/>
    <n v="1"/>
    <x v="0"/>
  </r>
  <r>
    <s v="CUST_0360"/>
    <x v="0"/>
    <s v="Low"/>
    <n v="76985"/>
    <n v="3300"/>
    <d v="2025-10-03T00:00:00"/>
    <d v="2025-10-03T00:00:00"/>
    <n v="0"/>
    <x v="1"/>
    <s v="No"/>
    <s v="Will pay next week"/>
    <n v="0"/>
    <s v="On Time"/>
    <s v="Low"/>
    <n v="0"/>
    <x v="0"/>
  </r>
  <r>
    <s v="CUST_0361"/>
    <x v="0"/>
    <s v="Medium"/>
    <n v="70069"/>
    <n v="6400"/>
    <d v="2025-10-23T00:00:00"/>
    <d v="2025-10-30T00:00:00"/>
    <n v="7"/>
    <x v="2"/>
    <s v="Yes"/>
    <s v="Paid already"/>
    <n v="1"/>
    <s v="Delayed"/>
    <s v="Medium"/>
    <n v="1"/>
    <x v="0"/>
  </r>
  <r>
    <s v="CUST_0362"/>
    <x v="0"/>
    <s v="Low"/>
    <n v="72326"/>
    <n v="4500"/>
    <d v="2025-10-26T00:00:00"/>
    <d v="2025-10-26T00:00:00"/>
    <n v="0"/>
    <x v="3"/>
    <s v="Yes"/>
    <s v="Paid already"/>
    <n v="0"/>
    <s v="On Time"/>
    <s v="Low"/>
    <n v="1"/>
    <x v="0"/>
  </r>
  <r>
    <s v="CUST_0363"/>
    <x v="0"/>
    <s v="Medium"/>
    <n v="43398"/>
    <n v="6200"/>
    <d v="2025-10-05T00:00:00"/>
    <d v="2025-10-12T00:00:00"/>
    <n v="7"/>
    <x v="3"/>
    <s v="No"/>
    <s v="Need settlement offer"/>
    <n v="1"/>
    <s v="Delayed"/>
    <s v="Medium"/>
    <n v="0"/>
    <x v="3"/>
  </r>
  <r>
    <s v="CUST_0364"/>
    <x v="0"/>
    <s v="Low"/>
    <n v="70861"/>
    <n v="7100"/>
    <d v="2025-10-24T00:00:00"/>
    <d v="2025-10-24T00:00:00"/>
    <n v="0"/>
    <x v="2"/>
    <s v="No"/>
    <s v="No response"/>
    <n v="0"/>
    <s v="On Time"/>
    <s v="Low"/>
    <n v="0"/>
    <x v="0"/>
  </r>
  <r>
    <s v="CUST_0365"/>
    <x v="1"/>
    <s v="Low"/>
    <n v="95897"/>
    <n v="13700"/>
    <d v="2025-10-17T00:00:00"/>
    <d v="2025-11-01T00:00:00"/>
    <n v="15"/>
    <x v="2"/>
    <s v="No"/>
    <s v="Will pay tomorrow"/>
    <n v="1"/>
    <s v="Delayed"/>
    <s v="High"/>
    <n v="0"/>
    <x v="2"/>
  </r>
  <r>
    <s v="CUST_0366"/>
    <x v="0"/>
    <s v="Medium"/>
    <n v="88577"/>
    <n v="5900"/>
    <d v="2025-10-19T00:00:00"/>
    <d v="2025-10-26T00:00:00"/>
    <n v="7"/>
    <x v="0"/>
    <s v="No"/>
    <s v="Will pay next week"/>
    <n v="1"/>
    <s v="Delayed"/>
    <s v="Medium"/>
    <n v="0"/>
    <x v="2"/>
  </r>
  <r>
    <s v="CUST_0367"/>
    <x v="1"/>
    <s v="Low"/>
    <n v="85641"/>
    <n v="12200"/>
    <d v="2025-10-19T00:00:00"/>
    <d v="2025-11-18T00:00:00"/>
    <n v="30"/>
    <x v="3"/>
    <s v="No"/>
    <s v="Cannot pay right now"/>
    <n v="1"/>
    <s v="Delayed"/>
    <s v="High"/>
    <n v="0"/>
    <x v="2"/>
  </r>
  <r>
    <s v="CUST_0368"/>
    <x v="1"/>
    <s v="Low"/>
    <n v="29078"/>
    <n v="1800"/>
    <d v="2025-10-25T00:00:00"/>
    <d v="2025-10-25T00:00:00"/>
    <n v="0"/>
    <x v="1"/>
    <s v="No"/>
    <s v="Will clear dues soon"/>
    <n v="0"/>
    <s v="On Time"/>
    <s v="Low"/>
    <n v="0"/>
    <x v="1"/>
  </r>
  <r>
    <s v="CUST_0369"/>
    <x v="2"/>
    <s v="Medium"/>
    <n v="45003"/>
    <n v="2000"/>
    <d v="2025-10-21T00:00:00"/>
    <d v="2025-10-24T00:00:00"/>
    <n v="3"/>
    <x v="3"/>
    <s v="No"/>
    <s v="Lost my job, need more time"/>
    <n v="1"/>
    <s v="Delayed"/>
    <s v="Medium"/>
    <n v="0"/>
    <x v="3"/>
  </r>
  <r>
    <s v="CUST_0370"/>
    <x v="2"/>
    <s v="High"/>
    <n v="82768"/>
    <n v="4100"/>
    <d v="2025-10-12T00:00:00"/>
    <d v="2025-10-15T00:00:00"/>
    <n v="3"/>
    <x v="3"/>
    <s v="No"/>
    <s v="Will clear dues soon"/>
    <n v="1"/>
    <s v="Delayed"/>
    <s v="Medium"/>
    <n v="0"/>
    <x v="2"/>
  </r>
  <r>
    <s v="CUST_0371"/>
    <x v="2"/>
    <s v="Low"/>
    <n v="71047"/>
    <n v="5100"/>
    <d v="2025-10-25T00:00:00"/>
    <d v="2025-10-25T00:00:00"/>
    <n v="0"/>
    <x v="2"/>
    <s v="No"/>
    <s v="Will clear dues soon"/>
    <n v="0"/>
    <s v="On Time"/>
    <s v="Low"/>
    <n v="0"/>
    <x v="0"/>
  </r>
  <r>
    <s v="CUST_0372"/>
    <x v="2"/>
    <s v="Low"/>
    <n v="91626"/>
    <n v="6500"/>
    <d v="2025-10-29T00:00:00"/>
    <d v="2025-10-29T00:00:00"/>
    <n v="0"/>
    <x v="2"/>
    <s v="Yes"/>
    <s v="Lost my job, need more time"/>
    <n v="0"/>
    <s v="On Time"/>
    <s v="Low"/>
    <n v="1"/>
    <x v="2"/>
  </r>
  <r>
    <s v="CUST_0373"/>
    <x v="2"/>
    <s v="Medium"/>
    <n v="77660"/>
    <n v="9700"/>
    <d v="2025-10-09T00:00:00"/>
    <d v="2025-10-09T00:00:00"/>
    <n v="0"/>
    <x v="1"/>
    <s v="No"/>
    <s v="Will clear dues soon"/>
    <n v="0"/>
    <s v="On Time"/>
    <s v="Low"/>
    <n v="0"/>
    <x v="0"/>
  </r>
  <r>
    <s v="CUST_0374"/>
    <x v="0"/>
    <s v="Low"/>
    <n v="69786"/>
    <n v="5000"/>
    <d v="2025-10-01T00:00:00"/>
    <d v="2025-10-08T00:00:00"/>
    <n v="7"/>
    <x v="0"/>
    <s v="Yes"/>
    <s v="Will pay tomorrow"/>
    <n v="1"/>
    <s v="Delayed"/>
    <s v="Medium"/>
    <n v="1"/>
    <x v="0"/>
  </r>
  <r>
    <s v="CUST_0375"/>
    <x v="2"/>
    <s v="Low"/>
    <n v="21925"/>
    <n v="1200"/>
    <d v="2025-10-18T00:00:00"/>
    <d v="2025-10-18T00:00:00"/>
    <n v="0"/>
    <x v="1"/>
    <s v="No"/>
    <s v="Lost my job, need more time"/>
    <n v="0"/>
    <s v="On Time"/>
    <s v="Low"/>
    <n v="0"/>
    <x v="1"/>
  </r>
  <r>
    <s v="CUST_0376"/>
    <x v="0"/>
    <s v="Low"/>
    <n v="46015"/>
    <n v="3800"/>
    <d v="2025-10-21T00:00:00"/>
    <d v="2025-10-21T00:00:00"/>
    <n v="0"/>
    <x v="0"/>
    <s v="No"/>
    <s v="Paid already"/>
    <n v="0"/>
    <s v="On Time"/>
    <s v="Low"/>
    <n v="0"/>
    <x v="3"/>
  </r>
  <r>
    <s v="CUST_0377"/>
    <x v="1"/>
    <s v="Medium"/>
    <n v="53320"/>
    <n v="2500"/>
    <d v="2025-10-04T00:00:00"/>
    <d v="2025-10-07T00:00:00"/>
    <n v="3"/>
    <x v="0"/>
    <s v="No"/>
    <s v="Will pay next week"/>
    <n v="1"/>
    <s v="Delayed"/>
    <s v="Medium"/>
    <n v="0"/>
    <x v="3"/>
  </r>
  <r>
    <s v="CUST_0378"/>
    <x v="2"/>
    <s v="Medium"/>
    <n v="84881"/>
    <n v="4000"/>
    <d v="2025-10-10T00:00:00"/>
    <d v="2025-10-10T00:00:00"/>
    <n v="0"/>
    <x v="2"/>
    <s v="Yes"/>
    <s v="Paid already"/>
    <n v="0"/>
    <s v="On Time"/>
    <s v="Low"/>
    <n v="1"/>
    <x v="2"/>
  </r>
  <r>
    <s v="CUST_0379"/>
    <x v="1"/>
    <s v="Low"/>
    <n v="46289"/>
    <n v="7700"/>
    <d v="2025-10-25T00:00:00"/>
    <d v="2025-10-25T00:00:00"/>
    <n v="0"/>
    <x v="1"/>
    <s v="No"/>
    <s v="Will pay next week"/>
    <n v="0"/>
    <s v="On Time"/>
    <s v="Low"/>
    <n v="0"/>
    <x v="3"/>
  </r>
  <r>
    <s v="CUST_0380"/>
    <x v="0"/>
    <s v="Low"/>
    <n v="23389"/>
    <n v="2600"/>
    <d v="2025-10-07T00:00:00"/>
    <d v="2025-11-21T00:00:00"/>
    <n v="45"/>
    <x v="1"/>
    <s v="No"/>
    <s v="Please stop calling"/>
    <n v="1"/>
    <s v="Delayed"/>
    <s v="High"/>
    <n v="0"/>
    <x v="1"/>
  </r>
  <r>
    <s v="CUST_0381"/>
    <x v="2"/>
    <s v="Low"/>
    <n v="45683"/>
    <n v="5100"/>
    <d v="2025-10-22T00:00:00"/>
    <d v="2025-12-06T00:00:00"/>
    <n v="45"/>
    <x v="3"/>
    <s v="No"/>
    <s v="Need settlement offer"/>
    <n v="1"/>
    <s v="Delayed"/>
    <s v="High"/>
    <n v="0"/>
    <x v="3"/>
  </r>
  <r>
    <s v="CUST_0382"/>
    <x v="0"/>
    <s v="Medium"/>
    <n v="33629"/>
    <n v="2800"/>
    <d v="2025-10-23T00:00:00"/>
    <d v="2025-10-23T00:00:00"/>
    <n v="0"/>
    <x v="1"/>
    <s v="No"/>
    <s v="Dispute on EMI amount"/>
    <n v="0"/>
    <s v="On Time"/>
    <s v="Low"/>
    <n v="0"/>
    <x v="1"/>
  </r>
  <r>
    <s v="CUST_0383"/>
    <x v="0"/>
    <s v="Low"/>
    <n v="81550"/>
    <n v="6300"/>
    <d v="2025-10-01T00:00:00"/>
    <d v="2025-10-01T00:00:00"/>
    <n v="0"/>
    <x v="3"/>
    <s v="No"/>
    <s v="Will clear dues soon"/>
    <n v="0"/>
    <s v="On Time"/>
    <s v="Low"/>
    <n v="0"/>
    <x v="2"/>
  </r>
  <r>
    <s v="CUST_0384"/>
    <x v="1"/>
    <s v="Low"/>
    <n v="44826"/>
    <n v="2000"/>
    <d v="2025-10-17T00:00:00"/>
    <d v="2025-10-24T00:00:00"/>
    <n v="7"/>
    <x v="2"/>
    <s v="No"/>
    <s v="No response"/>
    <n v="1"/>
    <s v="Delayed"/>
    <s v="Medium"/>
    <n v="0"/>
    <x v="3"/>
  </r>
  <r>
    <s v="CUST_0385"/>
    <x v="1"/>
    <s v="Medium"/>
    <n v="46630"/>
    <n v="4700"/>
    <d v="2025-10-24T00:00:00"/>
    <d v="2025-10-24T00:00:00"/>
    <n v="0"/>
    <x v="1"/>
    <s v="No"/>
    <s v="Will pay next week"/>
    <n v="0"/>
    <s v="On Time"/>
    <s v="Low"/>
    <n v="0"/>
    <x v="3"/>
  </r>
  <r>
    <s v="CUST_0386"/>
    <x v="1"/>
    <s v="Low"/>
    <n v="66163"/>
    <n v="5500"/>
    <d v="2025-10-29T00:00:00"/>
    <d v="2025-10-29T00:00:00"/>
    <n v="0"/>
    <x v="3"/>
    <s v="No"/>
    <s v="No response"/>
    <n v="0"/>
    <s v="On Time"/>
    <s v="Low"/>
    <n v="0"/>
    <x v="0"/>
  </r>
  <r>
    <s v="CUST_0387"/>
    <x v="0"/>
    <s v="Medium"/>
    <n v="86435"/>
    <n v="9600"/>
    <d v="2025-10-29T00:00:00"/>
    <d v="2025-10-29T00:00:00"/>
    <n v="0"/>
    <x v="3"/>
    <s v="Yes"/>
    <s v="Need settlement offer"/>
    <n v="0"/>
    <s v="On Time"/>
    <s v="Low"/>
    <n v="1"/>
    <x v="2"/>
  </r>
  <r>
    <s v="CUST_0388"/>
    <x v="2"/>
    <s v="Low"/>
    <n v="31653"/>
    <n v="2900"/>
    <d v="2025-10-02T00:00:00"/>
    <d v="2025-10-02T00:00:00"/>
    <n v="0"/>
    <x v="0"/>
    <s v="No"/>
    <s v="Dispute on EMI amount"/>
    <n v="0"/>
    <s v="On Time"/>
    <s v="Low"/>
    <n v="0"/>
    <x v="1"/>
  </r>
  <r>
    <s v="CUST_0389"/>
    <x v="1"/>
    <s v="Low"/>
    <n v="47961"/>
    <n v="4000"/>
    <d v="2025-10-28T00:00:00"/>
    <d v="2025-10-31T00:00:00"/>
    <n v="3"/>
    <x v="1"/>
    <s v="No"/>
    <s v="Cannot pay right now"/>
    <n v="1"/>
    <s v="Delayed"/>
    <s v="Medium"/>
    <n v="0"/>
    <x v="3"/>
  </r>
  <r>
    <s v="CUST_0390"/>
    <x v="1"/>
    <s v="Low"/>
    <n v="94137"/>
    <n v="4100"/>
    <d v="2025-10-26T00:00:00"/>
    <d v="2025-10-26T00:00:00"/>
    <n v="0"/>
    <x v="3"/>
    <s v="No"/>
    <s v="Please stop calling"/>
    <n v="0"/>
    <s v="On Time"/>
    <s v="Low"/>
    <n v="0"/>
    <x v="2"/>
  </r>
  <r>
    <s v="CUST_0391"/>
    <x v="1"/>
    <s v="Medium"/>
    <n v="53662"/>
    <n v="5400"/>
    <d v="2025-10-11T00:00:00"/>
    <d v="2025-10-14T00:00:00"/>
    <n v="3"/>
    <x v="1"/>
    <s v="Yes"/>
    <s v="Need settlement offer"/>
    <n v="1"/>
    <s v="Delayed"/>
    <s v="Medium"/>
    <n v="1"/>
    <x v="3"/>
  </r>
  <r>
    <s v="CUST_0392"/>
    <x v="0"/>
    <s v="Medium"/>
    <n v="76446"/>
    <n v="9600"/>
    <d v="2025-10-09T00:00:00"/>
    <d v="2025-11-08T00:00:00"/>
    <n v="30"/>
    <x v="2"/>
    <s v="No"/>
    <s v="Will clear dues soon"/>
    <n v="1"/>
    <s v="Delayed"/>
    <s v="High"/>
    <n v="0"/>
    <x v="0"/>
  </r>
  <r>
    <s v="CUST_0393"/>
    <x v="0"/>
    <s v="Medium"/>
    <n v="41288"/>
    <n v="3400"/>
    <d v="2025-10-07T00:00:00"/>
    <d v="2025-10-07T00:00:00"/>
    <n v="0"/>
    <x v="2"/>
    <s v="No"/>
    <s v="Lost my job, need more time"/>
    <n v="0"/>
    <s v="On Time"/>
    <s v="Low"/>
    <n v="0"/>
    <x v="1"/>
  </r>
  <r>
    <s v="CUST_0394"/>
    <x v="1"/>
    <s v="Low"/>
    <n v="56877"/>
    <n v="3000"/>
    <d v="2025-10-22T00:00:00"/>
    <d v="2025-10-29T00:00:00"/>
    <n v="7"/>
    <x v="0"/>
    <s v="No"/>
    <s v="Will pay tomorrow"/>
    <n v="1"/>
    <s v="Delayed"/>
    <s v="Medium"/>
    <n v="0"/>
    <x v="3"/>
  </r>
  <r>
    <s v="CUST_0395"/>
    <x v="0"/>
    <s v="Medium"/>
    <n v="35313"/>
    <n v="2900"/>
    <d v="2025-10-17T00:00:00"/>
    <d v="2025-11-16T00:00:00"/>
    <n v="30"/>
    <x v="1"/>
    <s v="No"/>
    <s v="Will clear dues soon"/>
    <n v="1"/>
    <s v="Delayed"/>
    <s v="High"/>
    <n v="0"/>
    <x v="1"/>
  </r>
  <r>
    <s v="CUST_0396"/>
    <x v="1"/>
    <s v="Low"/>
    <n v="92715"/>
    <n v="9300"/>
    <d v="2025-10-17T00:00:00"/>
    <d v="2025-10-17T00:00:00"/>
    <n v="0"/>
    <x v="2"/>
    <s v="No"/>
    <s v="Will clear dues soon"/>
    <n v="0"/>
    <s v="On Time"/>
    <s v="Low"/>
    <n v="0"/>
    <x v="2"/>
  </r>
  <r>
    <s v="CUST_0397"/>
    <x v="1"/>
    <s v="Low"/>
    <n v="30326"/>
    <n v="3000"/>
    <d v="2025-10-02T00:00:00"/>
    <d v="2025-10-02T00:00:00"/>
    <n v="0"/>
    <x v="1"/>
    <s v="No"/>
    <s v="Please stop calling"/>
    <n v="0"/>
    <s v="On Time"/>
    <s v="Low"/>
    <n v="0"/>
    <x v="1"/>
  </r>
  <r>
    <s v="CUST_0398"/>
    <x v="0"/>
    <s v="Medium"/>
    <n v="21560"/>
    <n v="3100"/>
    <d v="2025-10-06T00:00:00"/>
    <d v="2025-10-09T00:00:00"/>
    <n v="3"/>
    <x v="0"/>
    <s v="No"/>
    <s v="Will pay next week"/>
    <n v="1"/>
    <s v="Delayed"/>
    <s v="Medium"/>
    <n v="0"/>
    <x v="1"/>
  </r>
  <r>
    <s v="CUST_0399"/>
    <x v="1"/>
    <s v="Low"/>
    <n v="99148"/>
    <n v="9000"/>
    <d v="2025-10-14T00:00:00"/>
    <d v="2025-10-17T00:00:00"/>
    <n v="3"/>
    <x v="3"/>
    <s v="Yes"/>
    <s v="Dispute on EMI amount"/>
    <n v="1"/>
    <s v="Delayed"/>
    <s v="Medium"/>
    <n v="1"/>
    <x v="2"/>
  </r>
  <r>
    <s v="CUST_0400"/>
    <x v="1"/>
    <s v="Low"/>
    <n v="46745"/>
    <n v="2300"/>
    <d v="2025-10-06T00:00:00"/>
    <d v="2025-10-21T00:00:00"/>
    <n v="15"/>
    <x v="3"/>
    <s v="No"/>
    <s v="Need settlement offer"/>
    <n v="1"/>
    <s v="Delayed"/>
    <s v="High"/>
    <n v="0"/>
    <x v="3"/>
  </r>
  <r>
    <s v="CUST_0401"/>
    <x v="2"/>
    <s v="Low"/>
    <n v="51890"/>
    <n v="3500"/>
    <d v="2025-10-02T00:00:00"/>
    <d v="2025-10-02T00:00:00"/>
    <n v="0"/>
    <x v="3"/>
    <s v="No"/>
    <s v="Need settlement offer"/>
    <n v="0"/>
    <s v="On Time"/>
    <s v="Low"/>
    <n v="0"/>
    <x v="3"/>
  </r>
  <r>
    <s v="CUST_0402"/>
    <x v="1"/>
    <s v="Low"/>
    <n v="40022"/>
    <n v="3300"/>
    <d v="2025-10-01T00:00:00"/>
    <d v="2025-11-30T00:00:00"/>
    <n v="60"/>
    <x v="1"/>
    <s v="No"/>
    <s v="Need settlement offer"/>
    <n v="1"/>
    <s v="Delayed"/>
    <s v="High"/>
    <n v="0"/>
    <x v="1"/>
  </r>
  <r>
    <s v="CUST_0403"/>
    <x v="0"/>
    <s v="Low"/>
    <n v="72579"/>
    <n v="7300"/>
    <d v="2025-10-10T00:00:00"/>
    <d v="2025-10-10T00:00:00"/>
    <n v="0"/>
    <x v="1"/>
    <s v="No"/>
    <s v="Lost my job, need more time"/>
    <n v="0"/>
    <s v="On Time"/>
    <s v="Low"/>
    <n v="0"/>
    <x v="0"/>
  </r>
  <r>
    <s v="CUST_0404"/>
    <x v="1"/>
    <s v="Medium"/>
    <n v="90316"/>
    <n v="15100"/>
    <d v="2025-10-21T00:00:00"/>
    <d v="2025-10-21T00:00:00"/>
    <n v="0"/>
    <x v="1"/>
    <s v="No"/>
    <s v="Will pay tomorrow"/>
    <n v="0"/>
    <s v="On Time"/>
    <s v="Low"/>
    <n v="0"/>
    <x v="2"/>
  </r>
  <r>
    <s v="CUST_0405"/>
    <x v="0"/>
    <s v="Low"/>
    <n v="48380"/>
    <n v="2700"/>
    <d v="2025-10-05T00:00:00"/>
    <d v="2025-10-08T00:00:00"/>
    <n v="3"/>
    <x v="0"/>
    <s v="Yes"/>
    <s v="Will clear dues soon"/>
    <n v="1"/>
    <s v="Delayed"/>
    <s v="Medium"/>
    <n v="1"/>
    <x v="3"/>
  </r>
  <r>
    <s v="CUST_0406"/>
    <x v="1"/>
    <s v="Medium"/>
    <n v="22356"/>
    <n v="1000"/>
    <d v="2025-10-02T00:00:00"/>
    <d v="2025-10-02T00:00:00"/>
    <n v="0"/>
    <x v="1"/>
    <s v="Yes"/>
    <s v="No response"/>
    <n v="0"/>
    <s v="On Time"/>
    <s v="Low"/>
    <n v="1"/>
    <x v="1"/>
  </r>
  <r>
    <s v="CUST_0407"/>
    <x v="0"/>
    <s v="Medium"/>
    <n v="90326"/>
    <n v="5000"/>
    <d v="2025-10-22T00:00:00"/>
    <d v="2025-10-22T00:00:00"/>
    <n v="0"/>
    <x v="3"/>
    <s v="Yes"/>
    <s v="Will pay next week"/>
    <n v="0"/>
    <s v="On Time"/>
    <s v="Low"/>
    <n v="1"/>
    <x v="2"/>
  </r>
  <r>
    <s v="CUST_0408"/>
    <x v="2"/>
    <s v="Low"/>
    <n v="40049"/>
    <n v="1700"/>
    <d v="2025-10-16T00:00:00"/>
    <d v="2025-10-16T00:00:00"/>
    <n v="0"/>
    <x v="3"/>
    <s v="Yes"/>
    <s v="Please stop calling"/>
    <n v="0"/>
    <s v="On Time"/>
    <s v="Low"/>
    <n v="1"/>
    <x v="1"/>
  </r>
  <r>
    <s v="CUST_0409"/>
    <x v="1"/>
    <s v="Low"/>
    <n v="95717"/>
    <n v="9600"/>
    <d v="2025-10-25T00:00:00"/>
    <d v="2025-10-25T00:00:00"/>
    <n v="0"/>
    <x v="2"/>
    <s v="No"/>
    <s v="Need settlement offer"/>
    <n v="0"/>
    <s v="On Time"/>
    <s v="Low"/>
    <n v="0"/>
    <x v="2"/>
  </r>
  <r>
    <s v="CUST_0410"/>
    <x v="2"/>
    <s v="Low"/>
    <n v="36082"/>
    <n v="2000"/>
    <d v="2025-10-02T00:00:00"/>
    <d v="2025-10-02T00:00:00"/>
    <n v="0"/>
    <x v="2"/>
    <s v="Yes"/>
    <s v="Dispute on EMI amount"/>
    <n v="0"/>
    <s v="On Time"/>
    <s v="Low"/>
    <n v="1"/>
    <x v="1"/>
  </r>
  <r>
    <s v="CUST_0411"/>
    <x v="0"/>
    <s v="Medium"/>
    <n v="20661"/>
    <n v="2300"/>
    <d v="2025-10-10T00:00:00"/>
    <d v="2025-11-24T00:00:00"/>
    <n v="45"/>
    <x v="1"/>
    <s v="No"/>
    <s v="Will pay next week"/>
    <n v="1"/>
    <s v="Delayed"/>
    <s v="High"/>
    <n v="0"/>
    <x v="1"/>
  </r>
  <r>
    <s v="CUST_0412"/>
    <x v="1"/>
    <s v="Low"/>
    <n v="57412"/>
    <n v="2600"/>
    <d v="2025-10-02T00:00:00"/>
    <d v="2025-10-02T00:00:00"/>
    <n v="0"/>
    <x v="0"/>
    <s v="No"/>
    <s v="Will pay next week"/>
    <n v="0"/>
    <s v="On Time"/>
    <s v="Low"/>
    <n v="0"/>
    <x v="3"/>
  </r>
  <r>
    <s v="CUST_0413"/>
    <x v="1"/>
    <s v="Medium"/>
    <n v="22920"/>
    <n v="2900"/>
    <d v="2025-10-16T00:00:00"/>
    <d v="2025-10-23T00:00:00"/>
    <n v="7"/>
    <x v="3"/>
    <s v="No"/>
    <s v="Please stop calling"/>
    <n v="1"/>
    <s v="Delayed"/>
    <s v="Medium"/>
    <n v="0"/>
    <x v="1"/>
  </r>
  <r>
    <s v="CUST_0414"/>
    <x v="0"/>
    <s v="Low"/>
    <n v="80315"/>
    <n v="3700"/>
    <d v="2025-10-16T00:00:00"/>
    <d v="2025-10-23T00:00:00"/>
    <n v="7"/>
    <x v="2"/>
    <s v="No"/>
    <s v="Will pay tomorrow"/>
    <n v="1"/>
    <s v="Delayed"/>
    <s v="Medium"/>
    <n v="0"/>
    <x v="0"/>
  </r>
  <r>
    <s v="CUST_0415"/>
    <x v="0"/>
    <s v="Medium"/>
    <n v="99561"/>
    <n v="6200"/>
    <d v="2025-10-19T00:00:00"/>
    <d v="2025-11-18T00:00:00"/>
    <n v="30"/>
    <x v="1"/>
    <s v="No"/>
    <s v="Please stop calling"/>
    <n v="1"/>
    <s v="Delayed"/>
    <s v="High"/>
    <n v="0"/>
    <x v="2"/>
  </r>
  <r>
    <s v="CUST_0416"/>
    <x v="0"/>
    <s v="Low"/>
    <n v="28946"/>
    <n v="3200"/>
    <d v="2025-10-29T00:00:00"/>
    <d v="2025-10-29T00:00:00"/>
    <n v="0"/>
    <x v="2"/>
    <s v="Yes"/>
    <s v="Will clear dues soon"/>
    <n v="0"/>
    <s v="On Time"/>
    <s v="Low"/>
    <n v="1"/>
    <x v="1"/>
  </r>
  <r>
    <s v="CUST_0417"/>
    <x v="0"/>
    <s v="Low"/>
    <n v="65500"/>
    <n v="9400"/>
    <d v="2025-10-07T00:00:00"/>
    <d v="2025-11-06T00:00:00"/>
    <n v="30"/>
    <x v="3"/>
    <s v="No"/>
    <s v="Please stop calling"/>
    <n v="1"/>
    <s v="Delayed"/>
    <s v="High"/>
    <n v="0"/>
    <x v="0"/>
  </r>
  <r>
    <s v="CUST_0418"/>
    <x v="0"/>
    <s v="High"/>
    <n v="36309"/>
    <n v="1700"/>
    <d v="2025-10-22T00:00:00"/>
    <d v="2025-10-22T00:00:00"/>
    <n v="0"/>
    <x v="2"/>
    <s v="Yes"/>
    <s v="Cannot pay right now"/>
    <n v="0"/>
    <s v="On Time"/>
    <s v="Low"/>
    <n v="1"/>
    <x v="1"/>
  </r>
  <r>
    <s v="CUST_0419"/>
    <x v="0"/>
    <s v="Medium"/>
    <n v="75230"/>
    <n v="3300"/>
    <d v="2025-10-12T00:00:00"/>
    <d v="2025-10-15T00:00:00"/>
    <n v="3"/>
    <x v="3"/>
    <s v="No"/>
    <s v="Dispute on EMI amount"/>
    <n v="1"/>
    <s v="Delayed"/>
    <s v="Medium"/>
    <n v="0"/>
    <x v="0"/>
  </r>
  <r>
    <s v="CUST_0420"/>
    <x v="1"/>
    <s v="Low"/>
    <n v="50027"/>
    <n v="3800"/>
    <d v="2025-10-24T00:00:00"/>
    <d v="2025-10-27T00:00:00"/>
    <n v="3"/>
    <x v="0"/>
    <s v="No"/>
    <s v="Need settlement offer"/>
    <n v="1"/>
    <s v="Delayed"/>
    <s v="Medium"/>
    <n v="0"/>
    <x v="3"/>
  </r>
  <r>
    <s v="CUST_0421"/>
    <x v="1"/>
    <s v="Medium"/>
    <n v="92541"/>
    <n v="11600"/>
    <d v="2025-10-15T00:00:00"/>
    <d v="2025-10-30T00:00:00"/>
    <n v="15"/>
    <x v="3"/>
    <s v="Yes"/>
    <s v="No response"/>
    <n v="1"/>
    <s v="Delayed"/>
    <s v="High"/>
    <n v="1"/>
    <x v="2"/>
  </r>
  <r>
    <s v="CUST_0422"/>
    <x v="1"/>
    <s v="Low"/>
    <n v="79321"/>
    <n v="5700"/>
    <d v="2025-10-08T00:00:00"/>
    <d v="2025-10-08T00:00:00"/>
    <n v="0"/>
    <x v="2"/>
    <s v="Yes"/>
    <s v="Will clear dues soon"/>
    <n v="0"/>
    <s v="On Time"/>
    <s v="Low"/>
    <n v="1"/>
    <x v="0"/>
  </r>
  <r>
    <s v="CUST_0423"/>
    <x v="2"/>
    <s v="Medium"/>
    <n v="20956"/>
    <n v="1900"/>
    <d v="2025-10-06T00:00:00"/>
    <d v="2025-10-13T00:00:00"/>
    <n v="7"/>
    <x v="2"/>
    <s v="No"/>
    <s v="Lost my job, need more time"/>
    <n v="1"/>
    <s v="Delayed"/>
    <s v="Medium"/>
    <n v="0"/>
    <x v="1"/>
  </r>
  <r>
    <s v="CUST_0424"/>
    <x v="0"/>
    <s v="Medium"/>
    <n v="94131"/>
    <n v="6300"/>
    <d v="2025-10-28T00:00:00"/>
    <d v="2025-10-28T00:00:00"/>
    <n v="0"/>
    <x v="0"/>
    <s v="No"/>
    <s v="Will clear dues soon"/>
    <n v="0"/>
    <s v="On Time"/>
    <s v="Low"/>
    <n v="0"/>
    <x v="2"/>
  </r>
  <r>
    <s v="CUST_0425"/>
    <x v="2"/>
    <s v="Low"/>
    <n v="67908"/>
    <n v="4500"/>
    <d v="2025-10-27T00:00:00"/>
    <d v="2025-11-03T00:00:00"/>
    <n v="7"/>
    <x v="3"/>
    <s v="No"/>
    <s v="Please stop calling"/>
    <n v="1"/>
    <s v="Delayed"/>
    <s v="Medium"/>
    <n v="0"/>
    <x v="0"/>
  </r>
  <r>
    <s v="CUST_0426"/>
    <x v="0"/>
    <s v="Low"/>
    <n v="98339"/>
    <n v="5500"/>
    <d v="2025-10-10T00:00:00"/>
    <d v="2025-12-09T00:00:00"/>
    <n v="60"/>
    <x v="3"/>
    <s v="No"/>
    <s v="Paid already"/>
    <n v="1"/>
    <s v="Delayed"/>
    <s v="High"/>
    <n v="0"/>
    <x v="2"/>
  </r>
  <r>
    <s v="CUST_0427"/>
    <x v="0"/>
    <s v="Low"/>
    <n v="45963"/>
    <n v="2100"/>
    <d v="2025-10-03T00:00:00"/>
    <d v="2025-10-03T00:00:00"/>
    <n v="0"/>
    <x v="3"/>
    <s v="Yes"/>
    <s v="Need settlement offer"/>
    <n v="0"/>
    <s v="On Time"/>
    <s v="Low"/>
    <n v="1"/>
    <x v="3"/>
  </r>
  <r>
    <s v="CUST_0428"/>
    <x v="1"/>
    <s v="Medium"/>
    <n v="59443"/>
    <n v="4200"/>
    <d v="2025-10-19T00:00:00"/>
    <d v="2025-12-18T00:00:00"/>
    <n v="60"/>
    <x v="3"/>
    <s v="No"/>
    <s v="Lost my job, need more time"/>
    <n v="1"/>
    <s v="Delayed"/>
    <s v="High"/>
    <n v="0"/>
    <x v="3"/>
  </r>
  <r>
    <s v="CUST_0429"/>
    <x v="0"/>
    <s v="Medium"/>
    <n v="59063"/>
    <n v="2700"/>
    <d v="2025-10-17T00:00:00"/>
    <d v="2025-10-17T00:00:00"/>
    <n v="0"/>
    <x v="3"/>
    <s v="No"/>
    <s v="Will clear dues soon"/>
    <n v="0"/>
    <s v="On Time"/>
    <s v="Low"/>
    <n v="0"/>
    <x v="3"/>
  </r>
  <r>
    <s v="CUST_0430"/>
    <x v="2"/>
    <s v="Low"/>
    <n v="24703"/>
    <n v="1800"/>
    <d v="2025-10-07T00:00:00"/>
    <d v="2025-10-07T00:00:00"/>
    <n v="0"/>
    <x v="1"/>
    <s v="No"/>
    <s v="Paid already"/>
    <n v="0"/>
    <s v="On Time"/>
    <s v="Low"/>
    <n v="0"/>
    <x v="1"/>
  </r>
  <r>
    <s v="CUST_0431"/>
    <x v="2"/>
    <s v="Low"/>
    <n v="85128"/>
    <n v="6100"/>
    <d v="2025-10-21T00:00:00"/>
    <d v="2025-10-21T00:00:00"/>
    <n v="0"/>
    <x v="3"/>
    <s v="No"/>
    <s v="No response"/>
    <n v="0"/>
    <s v="On Time"/>
    <s v="Low"/>
    <n v="0"/>
    <x v="2"/>
  </r>
  <r>
    <s v="CUST_0432"/>
    <x v="1"/>
    <s v="Medium"/>
    <n v="92099"/>
    <n v="15300"/>
    <d v="2025-10-20T00:00:00"/>
    <d v="2025-10-20T00:00:00"/>
    <n v="0"/>
    <x v="3"/>
    <s v="No"/>
    <s v="Will pay tomorrow"/>
    <n v="0"/>
    <s v="On Time"/>
    <s v="Low"/>
    <n v="0"/>
    <x v="2"/>
  </r>
  <r>
    <s v="CUST_0433"/>
    <x v="0"/>
    <s v="High"/>
    <n v="45849"/>
    <n v="6500"/>
    <d v="2025-10-26T00:00:00"/>
    <d v="2025-10-29T00:00:00"/>
    <n v="3"/>
    <x v="1"/>
    <s v="No"/>
    <s v="No response"/>
    <n v="1"/>
    <s v="Delayed"/>
    <s v="Medium"/>
    <n v="0"/>
    <x v="3"/>
  </r>
  <r>
    <s v="CUST_0434"/>
    <x v="2"/>
    <s v="Medium"/>
    <n v="51860"/>
    <n v="2500"/>
    <d v="2025-10-04T00:00:00"/>
    <d v="2025-10-04T00:00:00"/>
    <n v="0"/>
    <x v="2"/>
    <s v="No"/>
    <s v="No response"/>
    <n v="0"/>
    <s v="On Time"/>
    <s v="Low"/>
    <n v="0"/>
    <x v="3"/>
  </r>
  <r>
    <s v="CUST_0435"/>
    <x v="2"/>
    <s v="Low"/>
    <n v="51585"/>
    <n v="8600"/>
    <d v="2025-10-14T00:00:00"/>
    <d v="2025-10-14T00:00:00"/>
    <n v="0"/>
    <x v="2"/>
    <s v="Yes"/>
    <s v="Please stop calling"/>
    <n v="0"/>
    <s v="On Time"/>
    <s v="Low"/>
    <n v="1"/>
    <x v="3"/>
  </r>
  <r>
    <s v="CUST_0436"/>
    <x v="1"/>
    <s v="Low"/>
    <n v="42015"/>
    <n v="2800"/>
    <d v="2025-10-20T00:00:00"/>
    <d v="2025-11-19T00:00:00"/>
    <n v="30"/>
    <x v="3"/>
    <s v="No"/>
    <s v="Please stop calling"/>
    <n v="1"/>
    <s v="Delayed"/>
    <s v="High"/>
    <n v="0"/>
    <x v="1"/>
  </r>
  <r>
    <s v="CUST_0437"/>
    <x v="2"/>
    <s v="Low"/>
    <n v="97539"/>
    <n v="4200"/>
    <d v="2025-10-22T00:00:00"/>
    <d v="2025-11-06T00:00:00"/>
    <n v="15"/>
    <x v="0"/>
    <s v="No"/>
    <s v="Dispute on EMI amount"/>
    <n v="1"/>
    <s v="Delayed"/>
    <s v="High"/>
    <n v="0"/>
    <x v="2"/>
  </r>
  <r>
    <s v="CUST_0438"/>
    <x v="1"/>
    <s v="High"/>
    <n v="63585"/>
    <n v="4900"/>
    <d v="2025-10-15T00:00:00"/>
    <d v="2025-10-30T00:00:00"/>
    <n v="15"/>
    <x v="3"/>
    <s v="Yes"/>
    <s v="Please stop calling"/>
    <n v="1"/>
    <s v="Delayed"/>
    <s v="High"/>
    <n v="1"/>
    <x v="0"/>
  </r>
  <r>
    <s v="CUST_0439"/>
    <x v="1"/>
    <s v="Low"/>
    <n v="46958"/>
    <n v="2900"/>
    <d v="2025-10-24T00:00:00"/>
    <d v="2025-11-23T00:00:00"/>
    <n v="30"/>
    <x v="0"/>
    <s v="No"/>
    <s v="Cannot pay right now"/>
    <n v="1"/>
    <s v="Delayed"/>
    <s v="High"/>
    <n v="0"/>
    <x v="3"/>
  </r>
  <r>
    <s v="CUST_0440"/>
    <x v="2"/>
    <s v="Medium"/>
    <n v="46017"/>
    <n v="6600"/>
    <d v="2025-10-08T00:00:00"/>
    <d v="2025-10-15T00:00:00"/>
    <n v="7"/>
    <x v="1"/>
    <s v="No"/>
    <s v="No response"/>
    <n v="1"/>
    <s v="Delayed"/>
    <s v="Medium"/>
    <n v="0"/>
    <x v="3"/>
  </r>
  <r>
    <s v="CUST_0441"/>
    <x v="2"/>
    <s v="Low"/>
    <n v="96707"/>
    <n v="7400"/>
    <d v="2025-10-21T00:00:00"/>
    <d v="2025-10-21T00:00:00"/>
    <n v="0"/>
    <x v="3"/>
    <s v="No"/>
    <s v="Lost my job, need more time"/>
    <n v="0"/>
    <s v="On Time"/>
    <s v="Low"/>
    <n v="0"/>
    <x v="2"/>
  </r>
  <r>
    <s v="CUST_0442"/>
    <x v="1"/>
    <s v="Medium"/>
    <n v="65350"/>
    <n v="5000"/>
    <d v="2025-10-15T00:00:00"/>
    <d v="2025-10-15T00:00:00"/>
    <n v="0"/>
    <x v="0"/>
    <s v="Yes"/>
    <s v="Cannot pay right now"/>
    <n v="0"/>
    <s v="On Time"/>
    <s v="Low"/>
    <n v="1"/>
    <x v="0"/>
  </r>
  <r>
    <s v="CUST_0443"/>
    <x v="0"/>
    <s v="Medium"/>
    <n v="32201"/>
    <n v="1500"/>
    <d v="2025-10-22T00:00:00"/>
    <d v="2025-10-29T00:00:00"/>
    <n v="7"/>
    <x v="3"/>
    <s v="No"/>
    <s v="No response"/>
    <n v="1"/>
    <s v="Delayed"/>
    <s v="Medium"/>
    <n v="0"/>
    <x v="1"/>
  </r>
  <r>
    <s v="CUST_0444"/>
    <x v="0"/>
    <s v="Medium"/>
    <n v="49426"/>
    <n v="2500"/>
    <d v="2025-10-20T00:00:00"/>
    <d v="2025-10-20T00:00:00"/>
    <n v="0"/>
    <x v="3"/>
    <s v="Yes"/>
    <s v="Need settlement offer"/>
    <n v="0"/>
    <s v="On Time"/>
    <s v="Low"/>
    <n v="1"/>
    <x v="3"/>
  </r>
  <r>
    <s v="CUST_0445"/>
    <x v="1"/>
    <s v="Low"/>
    <n v="37778"/>
    <n v="1700"/>
    <d v="2025-10-28T00:00:00"/>
    <d v="2025-10-31T00:00:00"/>
    <n v="3"/>
    <x v="1"/>
    <s v="No"/>
    <s v="Paid already"/>
    <n v="1"/>
    <s v="Delayed"/>
    <s v="Medium"/>
    <n v="0"/>
    <x v="1"/>
  </r>
  <r>
    <s v="CUST_0446"/>
    <x v="1"/>
    <s v="Low"/>
    <n v="65241"/>
    <n v="3600"/>
    <d v="2025-10-14T00:00:00"/>
    <d v="2025-10-14T00:00:00"/>
    <n v="0"/>
    <x v="1"/>
    <s v="Yes"/>
    <s v="No response"/>
    <n v="0"/>
    <s v="On Time"/>
    <s v="Low"/>
    <n v="1"/>
    <x v="0"/>
  </r>
  <r>
    <s v="CUST_0447"/>
    <x v="1"/>
    <s v="Low"/>
    <n v="62229"/>
    <n v="6200"/>
    <d v="2025-10-27T00:00:00"/>
    <d v="2025-10-27T00:00:00"/>
    <n v="0"/>
    <x v="1"/>
    <s v="No"/>
    <s v="Will clear dues soon"/>
    <n v="0"/>
    <s v="On Time"/>
    <s v="Low"/>
    <n v="0"/>
    <x v="0"/>
  </r>
  <r>
    <s v="CUST_0448"/>
    <x v="1"/>
    <s v="High"/>
    <n v="68364"/>
    <n v="4000"/>
    <d v="2025-10-29T00:00:00"/>
    <d v="2025-10-29T00:00:00"/>
    <n v="0"/>
    <x v="3"/>
    <s v="No"/>
    <s v="Cannot pay right now"/>
    <n v="0"/>
    <s v="On Time"/>
    <s v="Low"/>
    <n v="0"/>
    <x v="0"/>
  </r>
  <r>
    <s v="CUST_0449"/>
    <x v="0"/>
    <s v="Medium"/>
    <n v="77056"/>
    <n v="12800"/>
    <d v="2025-10-09T00:00:00"/>
    <d v="2025-10-12T00:00:00"/>
    <n v="3"/>
    <x v="2"/>
    <s v="No"/>
    <s v="Need settlement offer"/>
    <n v="1"/>
    <s v="Delayed"/>
    <s v="Medium"/>
    <n v="0"/>
    <x v="0"/>
  </r>
  <r>
    <s v="CUST_0450"/>
    <x v="2"/>
    <s v="Medium"/>
    <n v="47490"/>
    <n v="4700"/>
    <d v="2025-10-08T00:00:00"/>
    <d v="2025-10-11T00:00:00"/>
    <n v="3"/>
    <x v="1"/>
    <s v="No"/>
    <s v="No response"/>
    <n v="1"/>
    <s v="Delayed"/>
    <s v="Medium"/>
    <n v="0"/>
    <x v="3"/>
  </r>
  <r>
    <s v="CUST_0451"/>
    <x v="1"/>
    <s v="Medium"/>
    <n v="39975"/>
    <n v="3100"/>
    <d v="2025-10-26T00:00:00"/>
    <d v="2025-10-29T00:00:00"/>
    <n v="3"/>
    <x v="3"/>
    <s v="No"/>
    <s v="Lost my job, need more time"/>
    <n v="1"/>
    <s v="Delayed"/>
    <s v="Medium"/>
    <n v="0"/>
    <x v="1"/>
  </r>
  <r>
    <s v="CUST_0452"/>
    <x v="0"/>
    <s v="Medium"/>
    <n v="46723"/>
    <n v="2600"/>
    <d v="2025-10-28T00:00:00"/>
    <d v="2025-10-28T00:00:00"/>
    <n v="0"/>
    <x v="3"/>
    <s v="No"/>
    <s v="No response"/>
    <n v="0"/>
    <s v="On Time"/>
    <s v="Low"/>
    <n v="0"/>
    <x v="3"/>
  </r>
  <r>
    <s v="CUST_0453"/>
    <x v="0"/>
    <s v="Low"/>
    <n v="43279"/>
    <n v="3300"/>
    <d v="2025-10-26T00:00:00"/>
    <d v="2025-10-26T00:00:00"/>
    <n v="0"/>
    <x v="3"/>
    <s v="Yes"/>
    <s v="Dispute on EMI amount"/>
    <n v="0"/>
    <s v="On Time"/>
    <s v="Low"/>
    <n v="1"/>
    <x v="3"/>
  </r>
  <r>
    <s v="CUST_0454"/>
    <x v="1"/>
    <s v="High"/>
    <n v="98301"/>
    <n v="6100"/>
    <d v="2025-10-17T00:00:00"/>
    <d v="2025-11-01T00:00:00"/>
    <n v="15"/>
    <x v="3"/>
    <s v="No"/>
    <s v="No response"/>
    <n v="1"/>
    <s v="Delayed"/>
    <s v="High"/>
    <n v="0"/>
    <x v="2"/>
  </r>
  <r>
    <s v="CUST_0455"/>
    <x v="2"/>
    <s v="Low"/>
    <n v="31561"/>
    <n v="5300"/>
    <d v="2025-10-02T00:00:00"/>
    <d v="2025-10-05T00:00:00"/>
    <n v="3"/>
    <x v="0"/>
    <s v="Yes"/>
    <s v="No response"/>
    <n v="1"/>
    <s v="Delayed"/>
    <s v="Medium"/>
    <n v="1"/>
    <x v="1"/>
  </r>
  <r>
    <s v="CUST_0456"/>
    <x v="0"/>
    <s v="Low"/>
    <n v="86061"/>
    <n v="4800"/>
    <d v="2025-10-25T00:00:00"/>
    <d v="2025-10-25T00:00:00"/>
    <n v="0"/>
    <x v="2"/>
    <s v="No"/>
    <s v="Lost my job, need more time"/>
    <n v="0"/>
    <s v="On Time"/>
    <s v="Low"/>
    <n v="0"/>
    <x v="2"/>
  </r>
  <r>
    <s v="CUST_0457"/>
    <x v="2"/>
    <s v="Medium"/>
    <n v="69153"/>
    <n v="8600"/>
    <d v="2025-10-24T00:00:00"/>
    <d v="2025-11-08T00:00:00"/>
    <n v="15"/>
    <x v="0"/>
    <s v="Yes"/>
    <s v="Please stop calling"/>
    <n v="1"/>
    <s v="Delayed"/>
    <s v="High"/>
    <n v="1"/>
    <x v="0"/>
  </r>
  <r>
    <s v="CUST_0458"/>
    <x v="0"/>
    <s v="Low"/>
    <n v="53142"/>
    <n v="2400"/>
    <d v="2025-10-30T00:00:00"/>
    <d v="2025-10-30T00:00:00"/>
    <n v="0"/>
    <x v="2"/>
    <s v="No"/>
    <s v="No response"/>
    <n v="0"/>
    <s v="On Time"/>
    <s v="Low"/>
    <n v="0"/>
    <x v="3"/>
  </r>
  <r>
    <s v="CUST_0459"/>
    <x v="2"/>
    <s v="Low"/>
    <n v="46916"/>
    <n v="4700"/>
    <d v="2025-10-03T00:00:00"/>
    <d v="2025-10-03T00:00:00"/>
    <n v="0"/>
    <x v="1"/>
    <s v="No"/>
    <s v="Lost my job, need more time"/>
    <n v="0"/>
    <s v="On Time"/>
    <s v="Low"/>
    <n v="0"/>
    <x v="3"/>
  </r>
  <r>
    <s v="CUST_0460"/>
    <x v="2"/>
    <s v="Medium"/>
    <n v="84324"/>
    <n v="6500"/>
    <d v="2025-10-08T00:00:00"/>
    <d v="2025-10-08T00:00:00"/>
    <n v="0"/>
    <x v="3"/>
    <s v="No"/>
    <s v="Will clear dues soon"/>
    <n v="0"/>
    <s v="On Time"/>
    <s v="Low"/>
    <n v="0"/>
    <x v="2"/>
  </r>
  <r>
    <s v="CUST_0461"/>
    <x v="2"/>
    <s v="Low"/>
    <n v="64965"/>
    <n v="3400"/>
    <d v="2025-10-12T00:00:00"/>
    <d v="2025-10-19T00:00:00"/>
    <n v="7"/>
    <x v="2"/>
    <s v="Yes"/>
    <s v="Cannot pay right now"/>
    <n v="1"/>
    <s v="Delayed"/>
    <s v="Medium"/>
    <n v="1"/>
    <x v="0"/>
  </r>
  <r>
    <s v="CUST_0462"/>
    <x v="0"/>
    <s v="Medium"/>
    <n v="24648"/>
    <n v="2700"/>
    <d v="2025-10-01T00:00:00"/>
    <d v="2025-10-04T00:00:00"/>
    <n v="3"/>
    <x v="3"/>
    <s v="No"/>
    <s v="Will pay next week"/>
    <n v="1"/>
    <s v="Delayed"/>
    <s v="Medium"/>
    <n v="0"/>
    <x v="1"/>
  </r>
  <r>
    <s v="CUST_0463"/>
    <x v="1"/>
    <s v="Low"/>
    <n v="55133"/>
    <n v="3400"/>
    <d v="2025-10-10T00:00:00"/>
    <d v="2025-10-10T00:00:00"/>
    <n v="0"/>
    <x v="3"/>
    <s v="No"/>
    <s v="Paid already"/>
    <n v="0"/>
    <s v="On Time"/>
    <s v="Low"/>
    <n v="0"/>
    <x v="3"/>
  </r>
  <r>
    <s v="CUST_0464"/>
    <x v="0"/>
    <s v="Low"/>
    <n v="70677"/>
    <n v="3500"/>
    <d v="2025-10-20T00:00:00"/>
    <d v="2025-11-04T00:00:00"/>
    <n v="15"/>
    <x v="2"/>
    <s v="No"/>
    <s v="Will clear dues soon"/>
    <n v="1"/>
    <s v="Delayed"/>
    <s v="High"/>
    <n v="0"/>
    <x v="0"/>
  </r>
  <r>
    <s v="CUST_0465"/>
    <x v="1"/>
    <s v="Low"/>
    <n v="90135"/>
    <n v="7500"/>
    <d v="2025-10-03T00:00:00"/>
    <d v="2025-10-03T00:00:00"/>
    <n v="0"/>
    <x v="0"/>
    <s v="No"/>
    <s v="Paid already"/>
    <n v="0"/>
    <s v="On Time"/>
    <s v="Low"/>
    <n v="0"/>
    <x v="2"/>
  </r>
  <r>
    <s v="CUST_0466"/>
    <x v="0"/>
    <s v="Low"/>
    <n v="55046"/>
    <n v="3400"/>
    <d v="2025-10-06T00:00:00"/>
    <d v="2025-10-06T00:00:00"/>
    <n v="0"/>
    <x v="1"/>
    <s v="No"/>
    <s v="Will pay next week"/>
    <n v="0"/>
    <s v="On Time"/>
    <s v="Low"/>
    <n v="0"/>
    <x v="3"/>
  </r>
  <r>
    <s v="CUST_0467"/>
    <x v="0"/>
    <s v="Medium"/>
    <n v="67064"/>
    <n v="6700"/>
    <d v="2025-10-07T00:00:00"/>
    <d v="2025-10-07T00:00:00"/>
    <n v="0"/>
    <x v="3"/>
    <s v="No"/>
    <s v="Need settlement offer"/>
    <n v="0"/>
    <s v="On Time"/>
    <s v="Low"/>
    <n v="0"/>
    <x v="0"/>
  </r>
  <r>
    <s v="CUST_0468"/>
    <x v="1"/>
    <s v="Low"/>
    <n v="89350"/>
    <n v="8900"/>
    <d v="2025-10-20T00:00:00"/>
    <d v="2025-10-20T00:00:00"/>
    <n v="0"/>
    <x v="3"/>
    <s v="No"/>
    <s v="Lost my job, need more time"/>
    <n v="0"/>
    <s v="On Time"/>
    <s v="Low"/>
    <n v="0"/>
    <x v="2"/>
  </r>
  <r>
    <s v="CUST_0469"/>
    <x v="0"/>
    <s v="Medium"/>
    <n v="65893"/>
    <n v="5100"/>
    <d v="2025-10-23T00:00:00"/>
    <d v="2025-10-23T00:00:00"/>
    <n v="0"/>
    <x v="3"/>
    <s v="No"/>
    <s v="Need settlement offer"/>
    <n v="0"/>
    <s v="On Time"/>
    <s v="Low"/>
    <n v="0"/>
    <x v="0"/>
  </r>
  <r>
    <s v="CUST_0470"/>
    <x v="1"/>
    <s v="Low"/>
    <n v="81272"/>
    <n v="5400"/>
    <d v="2025-10-25T00:00:00"/>
    <d v="2025-10-28T00:00:00"/>
    <n v="3"/>
    <x v="2"/>
    <s v="No"/>
    <s v="Will pay tomorrow"/>
    <n v="1"/>
    <s v="Delayed"/>
    <s v="Medium"/>
    <n v="0"/>
    <x v="2"/>
  </r>
  <r>
    <s v="CUST_0471"/>
    <x v="2"/>
    <s v="Medium"/>
    <n v="87649"/>
    <n v="8000"/>
    <d v="2025-10-27T00:00:00"/>
    <d v="2025-11-11T00:00:00"/>
    <n v="15"/>
    <x v="1"/>
    <s v="Yes"/>
    <s v="Cannot pay right now"/>
    <n v="1"/>
    <s v="Delayed"/>
    <s v="High"/>
    <n v="1"/>
    <x v="2"/>
  </r>
  <r>
    <s v="CUST_0472"/>
    <x v="1"/>
    <s v="High"/>
    <n v="84674"/>
    <n v="4200"/>
    <d v="2025-10-18T00:00:00"/>
    <d v="2025-10-18T00:00:00"/>
    <n v="0"/>
    <x v="0"/>
    <s v="Yes"/>
    <s v="Will pay tomorrow"/>
    <n v="0"/>
    <s v="On Time"/>
    <s v="Low"/>
    <n v="1"/>
    <x v="2"/>
  </r>
  <r>
    <s v="CUST_0473"/>
    <x v="2"/>
    <s v="Medium"/>
    <n v="33760"/>
    <n v="1600"/>
    <d v="2025-10-11T00:00:00"/>
    <d v="2025-10-11T00:00:00"/>
    <n v="0"/>
    <x v="3"/>
    <s v="Yes"/>
    <s v="No response"/>
    <n v="0"/>
    <s v="On Time"/>
    <s v="Low"/>
    <n v="1"/>
    <x v="1"/>
  </r>
  <r>
    <s v="CUST_0474"/>
    <x v="1"/>
    <s v="Low"/>
    <n v="41927"/>
    <n v="1900"/>
    <d v="2025-10-19T00:00:00"/>
    <d v="2025-10-19T00:00:00"/>
    <n v="0"/>
    <x v="2"/>
    <s v="Yes"/>
    <s v="Will pay tomorrow"/>
    <n v="0"/>
    <s v="On Time"/>
    <s v="Low"/>
    <n v="1"/>
    <x v="1"/>
  </r>
  <r>
    <s v="CUST_0475"/>
    <x v="0"/>
    <s v="Low"/>
    <n v="81367"/>
    <n v="6300"/>
    <d v="2025-10-05T00:00:00"/>
    <d v="2025-10-05T00:00:00"/>
    <n v="0"/>
    <x v="2"/>
    <s v="No"/>
    <s v="No response"/>
    <n v="0"/>
    <s v="On Time"/>
    <s v="Low"/>
    <n v="0"/>
    <x v="2"/>
  </r>
  <r>
    <s v="CUST_0476"/>
    <x v="1"/>
    <s v="Low"/>
    <n v="32588"/>
    <n v="2500"/>
    <d v="2025-10-19T00:00:00"/>
    <d v="2025-10-19T00:00:00"/>
    <n v="0"/>
    <x v="1"/>
    <s v="No"/>
    <s v="Will pay next week"/>
    <n v="0"/>
    <s v="On Time"/>
    <s v="Low"/>
    <n v="0"/>
    <x v="1"/>
  </r>
  <r>
    <s v="CUST_0477"/>
    <x v="2"/>
    <s v="Medium"/>
    <n v="72233"/>
    <n v="5200"/>
    <d v="2025-10-11T00:00:00"/>
    <d v="2025-10-18T00:00:00"/>
    <n v="7"/>
    <x v="2"/>
    <s v="Yes"/>
    <s v="Will pay tomorrow"/>
    <n v="1"/>
    <s v="Delayed"/>
    <s v="Medium"/>
    <n v="1"/>
    <x v="0"/>
  </r>
  <r>
    <s v="CUST_0478"/>
    <x v="0"/>
    <s v="Low"/>
    <n v="64738"/>
    <n v="9200"/>
    <d v="2025-10-24T00:00:00"/>
    <d v="2025-10-24T00:00:00"/>
    <n v="0"/>
    <x v="1"/>
    <s v="No"/>
    <s v="Need settlement offer"/>
    <n v="0"/>
    <s v="On Time"/>
    <s v="Low"/>
    <n v="0"/>
    <x v="0"/>
  </r>
  <r>
    <s v="CUST_0479"/>
    <x v="1"/>
    <s v="Low"/>
    <n v="53397"/>
    <n v="2700"/>
    <d v="2025-10-12T00:00:00"/>
    <d v="2025-10-19T00:00:00"/>
    <n v="7"/>
    <x v="1"/>
    <s v="Yes"/>
    <s v="Will pay next week"/>
    <n v="1"/>
    <s v="Delayed"/>
    <s v="Medium"/>
    <n v="1"/>
    <x v="3"/>
  </r>
  <r>
    <s v="CUST_0480"/>
    <x v="0"/>
    <s v="Medium"/>
    <n v="96367"/>
    <n v="4200"/>
    <d v="2025-10-10T00:00:00"/>
    <d v="2025-10-25T00:00:00"/>
    <n v="15"/>
    <x v="3"/>
    <s v="No"/>
    <s v="Lost my job, need more time"/>
    <n v="1"/>
    <s v="Delayed"/>
    <s v="High"/>
    <n v="0"/>
    <x v="2"/>
  </r>
  <r>
    <s v="CUST_0481"/>
    <x v="0"/>
    <s v="Low"/>
    <n v="91260"/>
    <n v="11400"/>
    <d v="2025-10-08T00:00:00"/>
    <d v="2025-10-08T00:00:00"/>
    <n v="0"/>
    <x v="1"/>
    <s v="No"/>
    <s v="Need settlement offer"/>
    <n v="0"/>
    <s v="On Time"/>
    <s v="Low"/>
    <n v="0"/>
    <x v="2"/>
  </r>
  <r>
    <s v="CUST_0482"/>
    <x v="0"/>
    <s v="Medium"/>
    <n v="96619"/>
    <n v="4400"/>
    <d v="2025-10-24T00:00:00"/>
    <d v="2025-11-08T00:00:00"/>
    <n v="15"/>
    <x v="3"/>
    <s v="No"/>
    <s v="Will pay tomorrow"/>
    <n v="1"/>
    <s v="Delayed"/>
    <s v="High"/>
    <n v="0"/>
    <x v="2"/>
  </r>
  <r>
    <s v="CUST_0483"/>
    <x v="0"/>
    <s v="Low"/>
    <n v="39816"/>
    <n v="4400"/>
    <d v="2025-10-28T00:00:00"/>
    <d v="2025-10-31T00:00:00"/>
    <n v="3"/>
    <x v="1"/>
    <s v="Yes"/>
    <s v="Please stop calling"/>
    <n v="1"/>
    <s v="Delayed"/>
    <s v="Medium"/>
    <n v="1"/>
    <x v="1"/>
  </r>
  <r>
    <s v="CUST_0484"/>
    <x v="0"/>
    <s v="Low"/>
    <n v="62240"/>
    <n v="6900"/>
    <d v="2025-10-28T00:00:00"/>
    <d v="2025-10-31T00:00:00"/>
    <n v="3"/>
    <x v="2"/>
    <s v="No"/>
    <s v="Will clear dues soon"/>
    <n v="1"/>
    <s v="Delayed"/>
    <s v="Medium"/>
    <n v="0"/>
    <x v="0"/>
  </r>
  <r>
    <s v="CUST_0485"/>
    <x v="0"/>
    <s v="Medium"/>
    <n v="26276"/>
    <n v="1400"/>
    <d v="2025-10-09T00:00:00"/>
    <d v="2025-10-09T00:00:00"/>
    <n v="0"/>
    <x v="2"/>
    <s v="No"/>
    <s v="No response"/>
    <n v="0"/>
    <s v="On Time"/>
    <s v="Low"/>
    <n v="0"/>
    <x v="1"/>
  </r>
  <r>
    <s v="CUST_0486"/>
    <x v="1"/>
    <s v="Low"/>
    <n v="99530"/>
    <n v="7100"/>
    <d v="2025-10-04T00:00:00"/>
    <d v="2025-10-04T00:00:00"/>
    <n v="0"/>
    <x v="0"/>
    <s v="No"/>
    <s v="Need settlement offer"/>
    <n v="0"/>
    <s v="On Time"/>
    <s v="Low"/>
    <n v="0"/>
    <x v="2"/>
  </r>
  <r>
    <s v="CUST_0487"/>
    <x v="2"/>
    <s v="Medium"/>
    <n v="43499"/>
    <n v="3100"/>
    <d v="2025-10-05T00:00:00"/>
    <d v="2025-10-05T00:00:00"/>
    <n v="0"/>
    <x v="0"/>
    <s v="No"/>
    <s v="Paid already"/>
    <n v="0"/>
    <s v="On Time"/>
    <s v="Low"/>
    <n v="0"/>
    <x v="3"/>
  </r>
  <r>
    <s v="CUST_0488"/>
    <x v="0"/>
    <s v="Low"/>
    <n v="91635"/>
    <n v="4000"/>
    <d v="2025-10-21T00:00:00"/>
    <d v="2025-10-21T00:00:00"/>
    <n v="0"/>
    <x v="1"/>
    <s v="No"/>
    <s v="No response"/>
    <n v="0"/>
    <s v="On Time"/>
    <s v="Low"/>
    <n v="0"/>
    <x v="2"/>
  </r>
  <r>
    <s v="CUST_0489"/>
    <x v="1"/>
    <s v="Low"/>
    <n v="55946"/>
    <n v="3700"/>
    <d v="2025-10-08T00:00:00"/>
    <d v="2025-10-08T00:00:00"/>
    <n v="0"/>
    <x v="2"/>
    <s v="Yes"/>
    <s v="No response"/>
    <n v="0"/>
    <s v="On Time"/>
    <s v="Low"/>
    <n v="1"/>
    <x v="3"/>
  </r>
  <r>
    <s v="CUST_0490"/>
    <x v="1"/>
    <s v="Medium"/>
    <n v="75204"/>
    <n v="8400"/>
    <d v="2025-10-23T00:00:00"/>
    <d v="2025-10-26T00:00:00"/>
    <n v="3"/>
    <x v="1"/>
    <s v="No"/>
    <s v="Need settlement offer"/>
    <n v="1"/>
    <s v="Delayed"/>
    <s v="Medium"/>
    <n v="0"/>
    <x v="0"/>
  </r>
  <r>
    <s v="CUST_0491"/>
    <x v="0"/>
    <s v="Medium"/>
    <n v="71886"/>
    <n v="4200"/>
    <d v="2025-10-09T00:00:00"/>
    <d v="2025-10-09T00:00:00"/>
    <n v="0"/>
    <x v="2"/>
    <s v="No"/>
    <s v="Will pay next week"/>
    <n v="0"/>
    <s v="On Time"/>
    <s v="Low"/>
    <n v="0"/>
    <x v="0"/>
  </r>
  <r>
    <s v="CUST_0492"/>
    <x v="0"/>
    <s v="Medium"/>
    <n v="91652"/>
    <n v="7100"/>
    <d v="2025-10-15T00:00:00"/>
    <d v="2025-11-14T00:00:00"/>
    <n v="30"/>
    <x v="0"/>
    <s v="No"/>
    <s v="Will pay tomorrow"/>
    <n v="1"/>
    <s v="Delayed"/>
    <s v="High"/>
    <n v="0"/>
    <x v="2"/>
  </r>
  <r>
    <s v="CUST_0493"/>
    <x v="0"/>
    <s v="Low"/>
    <n v="35563"/>
    <n v="5100"/>
    <d v="2025-10-15T00:00:00"/>
    <d v="2025-10-22T00:00:00"/>
    <n v="7"/>
    <x v="2"/>
    <s v="Yes"/>
    <s v="Please stop calling"/>
    <n v="1"/>
    <s v="Delayed"/>
    <s v="Medium"/>
    <n v="1"/>
    <x v="1"/>
  </r>
  <r>
    <s v="CUST_0494"/>
    <x v="2"/>
    <s v="Medium"/>
    <n v="29847"/>
    <n v="1700"/>
    <d v="2025-10-16T00:00:00"/>
    <d v="2025-10-16T00:00:00"/>
    <n v="0"/>
    <x v="0"/>
    <s v="No"/>
    <s v="Paid already"/>
    <n v="0"/>
    <s v="On Time"/>
    <s v="Low"/>
    <n v="0"/>
    <x v="1"/>
  </r>
  <r>
    <s v="CUST_0495"/>
    <x v="0"/>
    <s v="Low"/>
    <n v="46155"/>
    <n v="2200"/>
    <d v="2025-10-14T00:00:00"/>
    <d v="2025-10-14T00:00:00"/>
    <n v="0"/>
    <x v="0"/>
    <s v="No"/>
    <s v="Paid already"/>
    <n v="0"/>
    <s v="On Time"/>
    <s v="Low"/>
    <n v="0"/>
    <x v="3"/>
  </r>
  <r>
    <s v="CUST_0496"/>
    <x v="0"/>
    <s v="Low"/>
    <n v="99671"/>
    <n v="14200"/>
    <d v="2025-10-08T00:00:00"/>
    <d v="2025-11-07T00:00:00"/>
    <n v="30"/>
    <x v="1"/>
    <s v="No"/>
    <s v="Will clear dues soon"/>
    <n v="1"/>
    <s v="Delayed"/>
    <s v="High"/>
    <n v="0"/>
    <x v="2"/>
  </r>
  <r>
    <s v="CUST_0497"/>
    <x v="0"/>
    <s v="High"/>
    <n v="87278"/>
    <n v="5500"/>
    <d v="2025-10-18T00:00:00"/>
    <d v="2025-11-02T00:00:00"/>
    <n v="15"/>
    <x v="3"/>
    <s v="No"/>
    <s v="No response"/>
    <n v="1"/>
    <s v="Delayed"/>
    <s v="High"/>
    <n v="0"/>
    <x v="2"/>
  </r>
  <r>
    <s v="CUST_0498"/>
    <x v="2"/>
    <s v="Low"/>
    <n v="38309"/>
    <n v="2600"/>
    <d v="2025-10-10T00:00:00"/>
    <d v="2025-10-17T00:00:00"/>
    <n v="7"/>
    <x v="3"/>
    <s v="No"/>
    <s v="Will pay next week"/>
    <n v="1"/>
    <s v="Delayed"/>
    <s v="Medium"/>
    <n v="0"/>
    <x v="1"/>
  </r>
  <r>
    <s v="CUST_0499"/>
    <x v="1"/>
    <s v="High"/>
    <n v="20619"/>
    <n v="1000"/>
    <d v="2025-10-28T00:00:00"/>
    <d v="2025-10-28T00:00:00"/>
    <n v="0"/>
    <x v="0"/>
    <s v="Yes"/>
    <s v="Dispute on EMI amount"/>
    <n v="0"/>
    <s v="On Time"/>
    <s v="Low"/>
    <n v="1"/>
    <x v="1"/>
  </r>
  <r>
    <s v="CUST_0500"/>
    <x v="1"/>
    <s v="Low"/>
    <n v="70108"/>
    <n v="3200"/>
    <d v="2025-10-20T00:00:00"/>
    <d v="2025-10-20T00:00:00"/>
    <n v="0"/>
    <x v="3"/>
    <s v="No"/>
    <s v="No response"/>
    <n v="0"/>
    <s v="On Time"/>
    <s v="Low"/>
    <n v="0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s v="CUST_0001"/>
    <x v="0"/>
    <x v="0"/>
    <n v="77134"/>
    <n v="3400"/>
    <d v="2025-10-08T00:00:00"/>
    <d v="2025-10-11T00:00:00"/>
    <n v="3"/>
    <x v="0"/>
    <s v="Yes"/>
    <x v="0"/>
    <n v="1"/>
    <s v="Delayed"/>
    <x v="0"/>
    <n v="1"/>
    <x v="0"/>
    <n v="0"/>
  </r>
  <r>
    <s v="CUST_0002"/>
    <x v="1"/>
    <x v="0"/>
    <n v="40491"/>
    <n v="2100"/>
    <d v="2025-10-18T00:00:00"/>
    <d v="2025-10-18T00:00:00"/>
    <n v="0"/>
    <x v="1"/>
    <s v="Yes"/>
    <x v="1"/>
    <n v="0"/>
    <s v="On Time"/>
    <x v="1"/>
    <n v="1"/>
    <x v="1"/>
    <n v="1"/>
  </r>
  <r>
    <s v="CUST_0003"/>
    <x v="1"/>
    <x v="1"/>
    <n v="21341"/>
    <n v="3000"/>
    <d v="2025-10-23T00:00:00"/>
    <d v="2025-10-26T00:00:00"/>
    <n v="3"/>
    <x v="2"/>
    <s v="No"/>
    <x v="2"/>
    <n v="1"/>
    <s v="Delayed"/>
    <x v="0"/>
    <n v="0"/>
    <x v="1"/>
    <n v="0"/>
  </r>
  <r>
    <s v="CUST_0004"/>
    <x v="0"/>
    <x v="0"/>
    <n v="64623"/>
    <n v="4600"/>
    <d v="2025-10-09T00:00:00"/>
    <d v="2025-10-09T00:00:00"/>
    <n v="0"/>
    <x v="2"/>
    <s v="No"/>
    <x v="2"/>
    <n v="0"/>
    <s v="On Time"/>
    <x v="1"/>
    <n v="0"/>
    <x v="0"/>
    <n v="1"/>
  </r>
  <r>
    <s v="CUST_0005"/>
    <x v="2"/>
    <x v="0"/>
    <n v="20338"/>
    <n v="2000"/>
    <d v="2025-10-25T00:00:00"/>
    <d v="2025-11-24T00:00:00"/>
    <n v="30"/>
    <x v="0"/>
    <s v="No"/>
    <x v="3"/>
    <n v="1"/>
    <s v="Delayed"/>
    <x v="2"/>
    <n v="0"/>
    <x v="1"/>
    <n v="0"/>
  </r>
  <r>
    <s v="CUST_0006"/>
    <x v="2"/>
    <x v="1"/>
    <n v="91431"/>
    <n v="15200"/>
    <d v="2025-10-08T00:00:00"/>
    <d v="2025-10-08T00:00:00"/>
    <n v="0"/>
    <x v="3"/>
    <s v="No"/>
    <x v="3"/>
    <n v="0"/>
    <s v="On Time"/>
    <x v="1"/>
    <n v="0"/>
    <x v="2"/>
    <n v="1"/>
  </r>
  <r>
    <s v="CUST_0007"/>
    <x v="2"/>
    <x v="2"/>
    <n v="32254"/>
    <n v="4000"/>
    <d v="2025-10-27T00:00:00"/>
    <d v="2025-10-27T00:00:00"/>
    <n v="0"/>
    <x v="2"/>
    <s v="No"/>
    <x v="1"/>
    <n v="0"/>
    <s v="On Time"/>
    <x v="1"/>
    <n v="0"/>
    <x v="1"/>
    <n v="1"/>
  </r>
  <r>
    <s v="CUST_0008"/>
    <x v="1"/>
    <x v="0"/>
    <n v="71860"/>
    <n v="6500"/>
    <d v="2025-10-14T00:00:00"/>
    <d v="2025-10-17T00:00:00"/>
    <n v="3"/>
    <x v="1"/>
    <s v="No"/>
    <x v="4"/>
    <n v="1"/>
    <s v="Delayed"/>
    <x v="0"/>
    <n v="0"/>
    <x v="0"/>
    <n v="0"/>
  </r>
  <r>
    <s v="CUST_0009"/>
    <x v="0"/>
    <x v="2"/>
    <n v="31344"/>
    <n v="3100"/>
    <d v="2025-10-28T00:00:00"/>
    <d v="2025-10-28T00:00:00"/>
    <n v="0"/>
    <x v="1"/>
    <s v="No"/>
    <x v="5"/>
    <n v="0"/>
    <s v="On Time"/>
    <x v="1"/>
    <n v="0"/>
    <x v="1"/>
    <n v="1"/>
  </r>
  <r>
    <s v="CUST_0010"/>
    <x v="1"/>
    <x v="0"/>
    <n v="21750"/>
    <n v="2200"/>
    <d v="2025-10-26T00:00:00"/>
    <d v="2025-10-26T00:00:00"/>
    <n v="0"/>
    <x v="3"/>
    <s v="No"/>
    <x v="4"/>
    <n v="0"/>
    <s v="On Time"/>
    <x v="1"/>
    <n v="0"/>
    <x v="1"/>
    <n v="1"/>
  </r>
  <r>
    <s v="CUST_0011"/>
    <x v="2"/>
    <x v="0"/>
    <n v="74756"/>
    <n v="12500"/>
    <d v="2025-10-25T00:00:00"/>
    <d v="2025-11-01T00:00:00"/>
    <n v="7"/>
    <x v="1"/>
    <s v="Yes"/>
    <x v="5"/>
    <n v="1"/>
    <s v="Delayed"/>
    <x v="0"/>
    <n v="1"/>
    <x v="0"/>
    <n v="0"/>
  </r>
  <r>
    <s v="CUST_0012"/>
    <x v="1"/>
    <x v="1"/>
    <n v="87957"/>
    <n v="4000"/>
    <d v="2025-10-18T00:00:00"/>
    <d v="2025-11-02T00:00:00"/>
    <n v="15"/>
    <x v="1"/>
    <s v="No"/>
    <x v="5"/>
    <n v="1"/>
    <s v="Delayed"/>
    <x v="2"/>
    <n v="0"/>
    <x v="2"/>
    <n v="0"/>
  </r>
  <r>
    <s v="CUST_0013"/>
    <x v="1"/>
    <x v="2"/>
    <n v="78053"/>
    <n v="4100"/>
    <d v="2025-10-22T00:00:00"/>
    <d v="2025-10-22T00:00:00"/>
    <n v="0"/>
    <x v="3"/>
    <s v="No"/>
    <x v="0"/>
    <n v="0"/>
    <s v="On Time"/>
    <x v="1"/>
    <n v="0"/>
    <x v="0"/>
    <n v="1"/>
  </r>
  <r>
    <s v="CUST_0014"/>
    <x v="0"/>
    <x v="0"/>
    <n v="90855"/>
    <n v="5300"/>
    <d v="2025-10-20T00:00:00"/>
    <d v="2025-10-27T00:00:00"/>
    <n v="7"/>
    <x v="0"/>
    <s v="Yes"/>
    <x v="0"/>
    <n v="1"/>
    <s v="Delayed"/>
    <x v="0"/>
    <n v="1"/>
    <x v="2"/>
    <n v="0"/>
  </r>
  <r>
    <s v="CUST_0015"/>
    <x v="2"/>
    <x v="1"/>
    <n v="35896"/>
    <n v="2400"/>
    <d v="2025-10-30T00:00:00"/>
    <d v="2025-12-14T00:00:00"/>
    <n v="45"/>
    <x v="3"/>
    <s v="No"/>
    <x v="3"/>
    <n v="1"/>
    <s v="Delayed"/>
    <x v="2"/>
    <n v="0"/>
    <x v="1"/>
    <n v="0"/>
  </r>
  <r>
    <s v="CUST_0016"/>
    <x v="2"/>
    <x v="1"/>
    <n v="75761"/>
    <n v="3300"/>
    <d v="2025-10-20T00:00:00"/>
    <d v="2025-11-04T00:00:00"/>
    <n v="15"/>
    <x v="2"/>
    <s v="No"/>
    <x v="0"/>
    <n v="1"/>
    <s v="Delayed"/>
    <x v="2"/>
    <n v="0"/>
    <x v="0"/>
    <n v="0"/>
  </r>
  <r>
    <s v="CUST_0017"/>
    <x v="0"/>
    <x v="1"/>
    <n v="82552"/>
    <n v="5200"/>
    <d v="2025-10-21T00:00:00"/>
    <d v="2025-10-21T00:00:00"/>
    <n v="0"/>
    <x v="3"/>
    <s v="No"/>
    <x v="4"/>
    <n v="0"/>
    <s v="On Time"/>
    <x v="1"/>
    <n v="0"/>
    <x v="2"/>
    <n v="1"/>
  </r>
  <r>
    <s v="CUST_0018"/>
    <x v="0"/>
    <x v="0"/>
    <n v="97454"/>
    <n v="13900"/>
    <d v="2025-10-12T00:00:00"/>
    <d v="2025-10-19T00:00:00"/>
    <n v="7"/>
    <x v="3"/>
    <s v="No"/>
    <x v="6"/>
    <n v="1"/>
    <s v="Delayed"/>
    <x v="0"/>
    <n v="0"/>
    <x v="2"/>
    <n v="0"/>
  </r>
  <r>
    <s v="CUST_0019"/>
    <x v="0"/>
    <x v="2"/>
    <n v="47935"/>
    <n v="2100"/>
    <d v="2025-10-19T00:00:00"/>
    <d v="2025-10-19T00:00:00"/>
    <n v="0"/>
    <x v="0"/>
    <s v="No"/>
    <x v="4"/>
    <n v="0"/>
    <s v="On Time"/>
    <x v="1"/>
    <n v="0"/>
    <x v="3"/>
    <n v="1"/>
  </r>
  <r>
    <s v="CUST_0020"/>
    <x v="0"/>
    <x v="1"/>
    <n v="57641"/>
    <n v="4800"/>
    <d v="2025-10-14T00:00:00"/>
    <d v="2025-12-13T00:00:00"/>
    <n v="60"/>
    <x v="2"/>
    <s v="No"/>
    <x v="0"/>
    <n v="1"/>
    <s v="Delayed"/>
    <x v="2"/>
    <n v="0"/>
    <x v="3"/>
    <n v="0"/>
  </r>
  <r>
    <s v="CUST_0021"/>
    <x v="0"/>
    <x v="0"/>
    <n v="49711"/>
    <n v="2500"/>
    <d v="2025-10-17T00:00:00"/>
    <d v="2025-10-17T00:00:00"/>
    <n v="0"/>
    <x v="2"/>
    <s v="No"/>
    <x v="5"/>
    <n v="0"/>
    <s v="On Time"/>
    <x v="1"/>
    <n v="0"/>
    <x v="3"/>
    <n v="1"/>
  </r>
  <r>
    <s v="CUST_0022"/>
    <x v="2"/>
    <x v="1"/>
    <n v="90342"/>
    <n v="5600"/>
    <d v="2025-10-24T00:00:00"/>
    <d v="2025-10-24T00:00:00"/>
    <n v="0"/>
    <x v="3"/>
    <s v="No"/>
    <x v="4"/>
    <n v="0"/>
    <s v="On Time"/>
    <x v="1"/>
    <n v="0"/>
    <x v="2"/>
    <n v="1"/>
  </r>
  <r>
    <s v="CUST_0023"/>
    <x v="0"/>
    <x v="2"/>
    <n v="32182"/>
    <n v="1400"/>
    <d v="2025-10-21T00:00:00"/>
    <d v="2025-10-28T00:00:00"/>
    <n v="7"/>
    <x v="2"/>
    <s v="No"/>
    <x v="4"/>
    <n v="1"/>
    <s v="Delayed"/>
    <x v="0"/>
    <n v="0"/>
    <x v="1"/>
    <n v="0"/>
  </r>
  <r>
    <s v="CUST_0024"/>
    <x v="0"/>
    <x v="0"/>
    <n v="76276"/>
    <n v="4500"/>
    <d v="2025-10-03T00:00:00"/>
    <d v="2025-10-03T00:00:00"/>
    <n v="0"/>
    <x v="2"/>
    <s v="Yes"/>
    <x v="3"/>
    <n v="0"/>
    <s v="On Time"/>
    <x v="1"/>
    <n v="1"/>
    <x v="0"/>
    <n v="1"/>
  </r>
  <r>
    <s v="CUST_0025"/>
    <x v="0"/>
    <x v="0"/>
    <n v="39541"/>
    <n v="3600"/>
    <d v="2025-10-26T00:00:00"/>
    <d v="2025-12-25T00:00:00"/>
    <n v="60"/>
    <x v="2"/>
    <s v="Yes"/>
    <x v="5"/>
    <n v="1"/>
    <s v="Delayed"/>
    <x v="2"/>
    <n v="1"/>
    <x v="1"/>
    <n v="0"/>
  </r>
  <r>
    <s v="CUST_0026"/>
    <x v="1"/>
    <x v="1"/>
    <n v="64813"/>
    <n v="3600"/>
    <d v="2025-10-30T00:00:00"/>
    <d v="2025-12-14T00:00:00"/>
    <n v="45"/>
    <x v="3"/>
    <s v="No"/>
    <x v="5"/>
    <n v="1"/>
    <s v="Delayed"/>
    <x v="2"/>
    <n v="0"/>
    <x v="0"/>
    <n v="0"/>
  </r>
  <r>
    <s v="CUST_0027"/>
    <x v="2"/>
    <x v="1"/>
    <n v="57198"/>
    <n v="2700"/>
    <d v="2025-10-23T00:00:00"/>
    <d v="2025-10-26T00:00:00"/>
    <n v="3"/>
    <x v="0"/>
    <s v="No"/>
    <x v="7"/>
    <n v="1"/>
    <s v="Delayed"/>
    <x v="0"/>
    <n v="0"/>
    <x v="3"/>
    <n v="0"/>
  </r>
  <r>
    <s v="CUST_0028"/>
    <x v="0"/>
    <x v="1"/>
    <n v="28820"/>
    <n v="1300"/>
    <d v="2025-10-07T00:00:00"/>
    <d v="2025-10-07T00:00:00"/>
    <n v="0"/>
    <x v="2"/>
    <s v="No"/>
    <x v="8"/>
    <n v="0"/>
    <s v="On Time"/>
    <x v="1"/>
    <n v="0"/>
    <x v="1"/>
    <n v="1"/>
  </r>
  <r>
    <s v="CUST_0029"/>
    <x v="0"/>
    <x v="1"/>
    <n v="44070"/>
    <n v="2900"/>
    <d v="2025-10-17T00:00:00"/>
    <d v="2025-10-20T00:00:00"/>
    <n v="3"/>
    <x v="2"/>
    <s v="No"/>
    <x v="0"/>
    <n v="1"/>
    <s v="Delayed"/>
    <x v="0"/>
    <n v="0"/>
    <x v="3"/>
    <n v="0"/>
  </r>
  <r>
    <s v="CUST_0030"/>
    <x v="2"/>
    <x v="0"/>
    <n v="89768"/>
    <n v="6900"/>
    <d v="2025-10-12T00:00:00"/>
    <d v="2025-10-12T00:00:00"/>
    <n v="0"/>
    <x v="3"/>
    <s v="Yes"/>
    <x v="0"/>
    <n v="0"/>
    <s v="On Time"/>
    <x v="1"/>
    <n v="1"/>
    <x v="2"/>
    <n v="1"/>
  </r>
  <r>
    <s v="CUST_0031"/>
    <x v="0"/>
    <x v="0"/>
    <n v="31122"/>
    <n v="1400"/>
    <d v="2025-10-09T00:00:00"/>
    <d v="2025-10-09T00:00:00"/>
    <n v="0"/>
    <x v="1"/>
    <s v="No"/>
    <x v="5"/>
    <n v="0"/>
    <s v="On Time"/>
    <x v="1"/>
    <n v="0"/>
    <x v="1"/>
    <n v="1"/>
  </r>
  <r>
    <s v="CUST_0032"/>
    <x v="2"/>
    <x v="2"/>
    <n v="93543"/>
    <n v="15600"/>
    <d v="2025-10-15T00:00:00"/>
    <d v="2025-10-30T00:00:00"/>
    <n v="15"/>
    <x v="2"/>
    <s v="No"/>
    <x v="8"/>
    <n v="1"/>
    <s v="Delayed"/>
    <x v="2"/>
    <n v="0"/>
    <x v="2"/>
    <n v="0"/>
  </r>
  <r>
    <s v="CUST_0033"/>
    <x v="2"/>
    <x v="2"/>
    <n v="61786"/>
    <n v="4800"/>
    <d v="2025-10-18T00:00:00"/>
    <d v="2025-10-18T00:00:00"/>
    <n v="0"/>
    <x v="2"/>
    <s v="Yes"/>
    <x v="7"/>
    <n v="0"/>
    <s v="On Time"/>
    <x v="1"/>
    <n v="1"/>
    <x v="0"/>
    <n v="1"/>
  </r>
  <r>
    <s v="CUST_0034"/>
    <x v="1"/>
    <x v="0"/>
    <n v="26737"/>
    <n v="2400"/>
    <d v="2025-10-21T00:00:00"/>
    <d v="2025-10-21T00:00:00"/>
    <n v="0"/>
    <x v="3"/>
    <s v="No"/>
    <x v="5"/>
    <n v="0"/>
    <s v="On Time"/>
    <x v="1"/>
    <n v="0"/>
    <x v="1"/>
    <n v="1"/>
  </r>
  <r>
    <s v="CUST_0035"/>
    <x v="1"/>
    <x v="0"/>
    <n v="56062"/>
    <n v="5600"/>
    <d v="2025-10-13T00:00:00"/>
    <d v="2025-11-27T00:00:00"/>
    <n v="45"/>
    <x v="0"/>
    <s v="Yes"/>
    <x v="2"/>
    <n v="1"/>
    <s v="Delayed"/>
    <x v="2"/>
    <n v="1"/>
    <x v="3"/>
    <n v="0"/>
  </r>
  <r>
    <s v="CUST_0036"/>
    <x v="1"/>
    <x v="2"/>
    <n v="74237"/>
    <n v="3700"/>
    <d v="2025-10-30T00:00:00"/>
    <d v="2025-10-30T00:00:00"/>
    <n v="0"/>
    <x v="3"/>
    <s v="No"/>
    <x v="3"/>
    <n v="0"/>
    <s v="On Time"/>
    <x v="1"/>
    <n v="0"/>
    <x v="0"/>
    <n v="1"/>
  </r>
  <r>
    <s v="CUST_0037"/>
    <x v="0"/>
    <x v="0"/>
    <n v="71571"/>
    <n v="3600"/>
    <d v="2025-10-21T00:00:00"/>
    <d v="2025-10-21T00:00:00"/>
    <n v="0"/>
    <x v="1"/>
    <s v="No"/>
    <x v="7"/>
    <n v="0"/>
    <s v="On Time"/>
    <x v="1"/>
    <n v="0"/>
    <x v="0"/>
    <n v="1"/>
  </r>
  <r>
    <s v="CUST_0038"/>
    <x v="2"/>
    <x v="1"/>
    <n v="45510"/>
    <n v="6500"/>
    <d v="2025-10-30T00:00:00"/>
    <d v="2025-11-29T00:00:00"/>
    <n v="30"/>
    <x v="2"/>
    <s v="No"/>
    <x v="8"/>
    <n v="1"/>
    <s v="Delayed"/>
    <x v="2"/>
    <n v="0"/>
    <x v="3"/>
    <n v="0"/>
  </r>
  <r>
    <s v="CUST_0039"/>
    <x v="0"/>
    <x v="1"/>
    <n v="39426"/>
    <n v="6600"/>
    <d v="2025-10-08T00:00:00"/>
    <d v="2025-10-08T00:00:00"/>
    <n v="0"/>
    <x v="3"/>
    <s v="No"/>
    <x v="3"/>
    <n v="0"/>
    <s v="On Time"/>
    <x v="1"/>
    <n v="0"/>
    <x v="1"/>
    <n v="1"/>
  </r>
  <r>
    <s v="CUST_0040"/>
    <x v="0"/>
    <x v="1"/>
    <n v="57265"/>
    <n v="3600"/>
    <d v="2025-10-14T00:00:00"/>
    <d v="2025-10-21T00:00:00"/>
    <n v="7"/>
    <x v="1"/>
    <s v="No"/>
    <x v="8"/>
    <n v="1"/>
    <s v="Delayed"/>
    <x v="0"/>
    <n v="0"/>
    <x v="3"/>
    <n v="0"/>
  </r>
  <r>
    <s v="CUST_0041"/>
    <x v="2"/>
    <x v="2"/>
    <n v="37850"/>
    <n v="2500"/>
    <d v="2025-10-08T00:00:00"/>
    <d v="2025-12-07T00:00:00"/>
    <n v="60"/>
    <x v="3"/>
    <s v="No"/>
    <x v="9"/>
    <n v="1"/>
    <s v="Delayed"/>
    <x v="2"/>
    <n v="0"/>
    <x v="1"/>
    <n v="0"/>
  </r>
  <r>
    <s v="CUST_0042"/>
    <x v="0"/>
    <x v="0"/>
    <n v="86150"/>
    <n v="3700"/>
    <d v="2025-10-14T00:00:00"/>
    <d v="2025-11-13T00:00:00"/>
    <n v="30"/>
    <x v="0"/>
    <s v="Yes"/>
    <x v="9"/>
    <n v="1"/>
    <s v="Delayed"/>
    <x v="2"/>
    <n v="1"/>
    <x v="2"/>
    <n v="0"/>
  </r>
  <r>
    <s v="CUST_0043"/>
    <x v="2"/>
    <x v="1"/>
    <n v="94910"/>
    <n v="4100"/>
    <d v="2025-10-07T00:00:00"/>
    <d v="2025-10-10T00:00:00"/>
    <n v="3"/>
    <x v="0"/>
    <s v="No"/>
    <x v="1"/>
    <n v="1"/>
    <s v="Delayed"/>
    <x v="0"/>
    <n v="0"/>
    <x v="2"/>
    <n v="0"/>
  </r>
  <r>
    <s v="CUST_0044"/>
    <x v="1"/>
    <x v="0"/>
    <n v="72375"/>
    <n v="3300"/>
    <d v="2025-10-23T00:00:00"/>
    <d v="2025-10-23T00:00:00"/>
    <n v="0"/>
    <x v="0"/>
    <s v="No"/>
    <x v="9"/>
    <n v="0"/>
    <s v="On Time"/>
    <x v="1"/>
    <n v="0"/>
    <x v="0"/>
    <n v="1"/>
  </r>
  <r>
    <s v="CUST_0045"/>
    <x v="0"/>
    <x v="0"/>
    <n v="55435"/>
    <n v="4300"/>
    <d v="2025-10-12T00:00:00"/>
    <d v="2025-10-12T00:00:00"/>
    <n v="0"/>
    <x v="3"/>
    <s v="No"/>
    <x v="0"/>
    <n v="0"/>
    <s v="On Time"/>
    <x v="1"/>
    <n v="0"/>
    <x v="3"/>
    <n v="1"/>
  </r>
  <r>
    <s v="CUST_0046"/>
    <x v="0"/>
    <x v="1"/>
    <n v="77132"/>
    <n v="3900"/>
    <d v="2025-10-11T00:00:00"/>
    <d v="2025-10-26T00:00:00"/>
    <n v="15"/>
    <x v="1"/>
    <s v="No"/>
    <x v="8"/>
    <n v="1"/>
    <s v="Delayed"/>
    <x v="2"/>
    <n v="0"/>
    <x v="0"/>
    <n v="0"/>
  </r>
  <r>
    <s v="CUST_0047"/>
    <x v="0"/>
    <x v="1"/>
    <n v="98945"/>
    <n v="7600"/>
    <d v="2025-10-22T00:00:00"/>
    <d v="2025-11-21T00:00:00"/>
    <n v="30"/>
    <x v="2"/>
    <s v="Yes"/>
    <x v="1"/>
    <n v="1"/>
    <s v="Delayed"/>
    <x v="2"/>
    <n v="1"/>
    <x v="2"/>
    <n v="0"/>
  </r>
  <r>
    <s v="CUST_0048"/>
    <x v="0"/>
    <x v="0"/>
    <n v="22983"/>
    <n v="1000"/>
    <d v="2025-10-22T00:00:00"/>
    <d v="2025-10-22T00:00:00"/>
    <n v="0"/>
    <x v="0"/>
    <s v="No"/>
    <x v="1"/>
    <n v="0"/>
    <s v="On Time"/>
    <x v="1"/>
    <n v="0"/>
    <x v="1"/>
    <n v="1"/>
  </r>
  <r>
    <s v="CUST_0049"/>
    <x v="0"/>
    <x v="0"/>
    <n v="40662"/>
    <n v="2400"/>
    <d v="2025-10-11T00:00:00"/>
    <d v="2025-10-11T00:00:00"/>
    <n v="0"/>
    <x v="1"/>
    <s v="No"/>
    <x v="8"/>
    <n v="0"/>
    <s v="On Time"/>
    <x v="1"/>
    <n v="0"/>
    <x v="1"/>
    <n v="1"/>
  </r>
  <r>
    <s v="CUST_0050"/>
    <x v="2"/>
    <x v="0"/>
    <n v="43510"/>
    <n v="3300"/>
    <d v="2025-10-25T00:00:00"/>
    <d v="2025-10-25T00:00:00"/>
    <n v="0"/>
    <x v="1"/>
    <s v="Yes"/>
    <x v="2"/>
    <n v="0"/>
    <s v="On Time"/>
    <x v="1"/>
    <n v="1"/>
    <x v="3"/>
    <n v="1"/>
  </r>
  <r>
    <s v="CUST_0051"/>
    <x v="1"/>
    <x v="0"/>
    <n v="98187"/>
    <n v="5200"/>
    <d v="2025-10-22T00:00:00"/>
    <d v="2025-10-22T00:00:00"/>
    <n v="0"/>
    <x v="2"/>
    <s v="No"/>
    <x v="2"/>
    <n v="0"/>
    <s v="On Time"/>
    <x v="1"/>
    <n v="0"/>
    <x v="2"/>
    <n v="1"/>
  </r>
  <r>
    <s v="CUST_0052"/>
    <x v="1"/>
    <x v="0"/>
    <n v="60998"/>
    <n v="6800"/>
    <d v="2025-10-28T00:00:00"/>
    <d v="2025-11-04T00:00:00"/>
    <n v="7"/>
    <x v="2"/>
    <s v="Yes"/>
    <x v="0"/>
    <n v="1"/>
    <s v="Delayed"/>
    <x v="0"/>
    <n v="1"/>
    <x v="0"/>
    <n v="0"/>
  </r>
  <r>
    <s v="CUST_0053"/>
    <x v="1"/>
    <x v="0"/>
    <n v="76846"/>
    <n v="12800"/>
    <d v="2025-10-29T00:00:00"/>
    <d v="2025-10-29T00:00:00"/>
    <n v="0"/>
    <x v="3"/>
    <s v="No"/>
    <x v="9"/>
    <n v="0"/>
    <s v="On Time"/>
    <x v="1"/>
    <n v="0"/>
    <x v="0"/>
    <n v="1"/>
  </r>
  <r>
    <s v="CUST_0054"/>
    <x v="1"/>
    <x v="0"/>
    <n v="26640"/>
    <n v="4400"/>
    <d v="2025-10-13T00:00:00"/>
    <d v="2025-11-12T00:00:00"/>
    <n v="30"/>
    <x v="1"/>
    <s v="No"/>
    <x v="2"/>
    <n v="1"/>
    <s v="Delayed"/>
    <x v="2"/>
    <n v="0"/>
    <x v="1"/>
    <n v="0"/>
  </r>
  <r>
    <s v="CUST_0055"/>
    <x v="0"/>
    <x v="0"/>
    <n v="64547"/>
    <n v="3100"/>
    <d v="2025-10-18T00:00:00"/>
    <d v="2025-10-25T00:00:00"/>
    <n v="7"/>
    <x v="2"/>
    <s v="No"/>
    <x v="6"/>
    <n v="1"/>
    <s v="Delayed"/>
    <x v="0"/>
    <n v="0"/>
    <x v="0"/>
    <n v="0"/>
  </r>
  <r>
    <s v="CUST_0056"/>
    <x v="1"/>
    <x v="1"/>
    <n v="74620"/>
    <n v="3900"/>
    <d v="2025-10-02T00:00:00"/>
    <d v="2025-10-02T00:00:00"/>
    <n v="0"/>
    <x v="2"/>
    <s v="No"/>
    <x v="6"/>
    <n v="0"/>
    <s v="On Time"/>
    <x v="1"/>
    <n v="0"/>
    <x v="0"/>
    <n v="1"/>
  </r>
  <r>
    <s v="CUST_0057"/>
    <x v="2"/>
    <x v="1"/>
    <n v="35317"/>
    <n v="1700"/>
    <d v="2025-10-29T00:00:00"/>
    <d v="2025-11-01T00:00:00"/>
    <n v="3"/>
    <x v="1"/>
    <s v="No"/>
    <x v="1"/>
    <n v="1"/>
    <s v="Delayed"/>
    <x v="0"/>
    <n v="0"/>
    <x v="1"/>
    <n v="0"/>
  </r>
  <r>
    <s v="CUST_0058"/>
    <x v="2"/>
    <x v="1"/>
    <n v="27564"/>
    <n v="2800"/>
    <d v="2025-10-21T00:00:00"/>
    <d v="2025-10-21T00:00:00"/>
    <n v="0"/>
    <x v="2"/>
    <s v="No"/>
    <x v="5"/>
    <n v="0"/>
    <s v="On Time"/>
    <x v="1"/>
    <n v="0"/>
    <x v="1"/>
    <n v="1"/>
  </r>
  <r>
    <s v="CUST_0059"/>
    <x v="2"/>
    <x v="0"/>
    <n v="47345"/>
    <n v="3400"/>
    <d v="2025-10-15T00:00:00"/>
    <d v="2025-10-18T00:00:00"/>
    <n v="3"/>
    <x v="3"/>
    <s v="No"/>
    <x v="3"/>
    <n v="1"/>
    <s v="Delayed"/>
    <x v="0"/>
    <n v="0"/>
    <x v="3"/>
    <n v="0"/>
  </r>
  <r>
    <s v="CUST_0060"/>
    <x v="0"/>
    <x v="0"/>
    <n v="99273"/>
    <n v="14200"/>
    <d v="2025-10-20T00:00:00"/>
    <d v="2025-10-27T00:00:00"/>
    <n v="7"/>
    <x v="2"/>
    <s v="No"/>
    <x v="8"/>
    <n v="1"/>
    <s v="Delayed"/>
    <x v="0"/>
    <n v="0"/>
    <x v="2"/>
    <n v="0"/>
  </r>
  <r>
    <s v="CUST_0061"/>
    <x v="0"/>
    <x v="0"/>
    <n v="94859"/>
    <n v="4100"/>
    <d v="2025-10-27T00:00:00"/>
    <d v="2025-11-11T00:00:00"/>
    <n v="15"/>
    <x v="2"/>
    <s v="No"/>
    <x v="6"/>
    <n v="1"/>
    <s v="Delayed"/>
    <x v="2"/>
    <n v="0"/>
    <x v="2"/>
    <n v="0"/>
  </r>
  <r>
    <s v="CUST_0062"/>
    <x v="0"/>
    <x v="1"/>
    <n v="94038"/>
    <n v="8500"/>
    <d v="2025-10-18T00:00:00"/>
    <d v="2025-11-02T00:00:00"/>
    <n v="15"/>
    <x v="2"/>
    <s v="Yes"/>
    <x v="9"/>
    <n v="1"/>
    <s v="Delayed"/>
    <x v="2"/>
    <n v="1"/>
    <x v="2"/>
    <n v="0"/>
  </r>
  <r>
    <s v="CUST_0063"/>
    <x v="1"/>
    <x v="1"/>
    <n v="72393"/>
    <n v="5200"/>
    <d v="2025-10-15T00:00:00"/>
    <d v="2025-10-15T00:00:00"/>
    <n v="0"/>
    <x v="3"/>
    <s v="No"/>
    <x v="3"/>
    <n v="0"/>
    <s v="On Time"/>
    <x v="1"/>
    <n v="0"/>
    <x v="0"/>
    <n v="1"/>
  </r>
  <r>
    <s v="CUST_0064"/>
    <x v="0"/>
    <x v="1"/>
    <n v="86081"/>
    <n v="14300"/>
    <d v="2025-10-19T00:00:00"/>
    <d v="2025-10-19T00:00:00"/>
    <n v="0"/>
    <x v="3"/>
    <s v="No"/>
    <x v="4"/>
    <n v="0"/>
    <s v="On Time"/>
    <x v="1"/>
    <n v="0"/>
    <x v="2"/>
    <n v="1"/>
  </r>
  <r>
    <s v="CUST_0065"/>
    <x v="0"/>
    <x v="1"/>
    <n v="49430"/>
    <n v="3500"/>
    <d v="2025-10-23T00:00:00"/>
    <d v="2025-10-30T00:00:00"/>
    <n v="7"/>
    <x v="3"/>
    <s v="Yes"/>
    <x v="9"/>
    <n v="1"/>
    <s v="Delayed"/>
    <x v="0"/>
    <n v="1"/>
    <x v="3"/>
    <n v="0"/>
  </r>
  <r>
    <s v="CUST_0066"/>
    <x v="0"/>
    <x v="0"/>
    <n v="95532"/>
    <n v="4500"/>
    <d v="2025-10-24T00:00:00"/>
    <d v="2025-10-24T00:00:00"/>
    <n v="0"/>
    <x v="1"/>
    <s v="No"/>
    <x v="1"/>
    <n v="0"/>
    <s v="On Time"/>
    <x v="1"/>
    <n v="0"/>
    <x v="2"/>
    <n v="1"/>
  </r>
  <r>
    <s v="CUST_0067"/>
    <x v="2"/>
    <x v="1"/>
    <n v="47788"/>
    <n v="2700"/>
    <d v="2025-10-12T00:00:00"/>
    <d v="2025-10-12T00:00:00"/>
    <n v="0"/>
    <x v="3"/>
    <s v="No"/>
    <x v="8"/>
    <n v="0"/>
    <s v="On Time"/>
    <x v="1"/>
    <n v="0"/>
    <x v="3"/>
    <n v="1"/>
  </r>
  <r>
    <s v="CUST_0068"/>
    <x v="1"/>
    <x v="1"/>
    <n v="68543"/>
    <n v="4900"/>
    <d v="2025-10-13T00:00:00"/>
    <d v="2025-10-13T00:00:00"/>
    <n v="0"/>
    <x v="2"/>
    <s v="Yes"/>
    <x v="7"/>
    <n v="0"/>
    <s v="On Time"/>
    <x v="1"/>
    <n v="1"/>
    <x v="0"/>
    <n v="1"/>
  </r>
  <r>
    <s v="CUST_0069"/>
    <x v="2"/>
    <x v="2"/>
    <n v="33919"/>
    <n v="1900"/>
    <d v="2025-10-22T00:00:00"/>
    <d v="2025-10-25T00:00:00"/>
    <n v="3"/>
    <x v="0"/>
    <s v="No"/>
    <x v="6"/>
    <n v="1"/>
    <s v="Delayed"/>
    <x v="0"/>
    <n v="0"/>
    <x v="1"/>
    <n v="0"/>
  </r>
  <r>
    <s v="CUST_0070"/>
    <x v="1"/>
    <x v="1"/>
    <n v="89346"/>
    <n v="6400"/>
    <d v="2025-10-11T00:00:00"/>
    <d v="2025-10-11T00:00:00"/>
    <n v="0"/>
    <x v="3"/>
    <s v="No"/>
    <x v="2"/>
    <n v="0"/>
    <s v="On Time"/>
    <x v="1"/>
    <n v="0"/>
    <x v="2"/>
    <n v="1"/>
  </r>
  <r>
    <s v="CUST_0071"/>
    <x v="1"/>
    <x v="0"/>
    <n v="59974"/>
    <n v="3700"/>
    <d v="2025-10-05T00:00:00"/>
    <d v="2025-10-08T00:00:00"/>
    <n v="3"/>
    <x v="2"/>
    <s v="No"/>
    <x v="0"/>
    <n v="1"/>
    <s v="Delayed"/>
    <x v="0"/>
    <n v="0"/>
    <x v="0"/>
    <n v="0"/>
  </r>
  <r>
    <s v="CUST_0072"/>
    <x v="2"/>
    <x v="0"/>
    <n v="36371"/>
    <n v="4000"/>
    <d v="2025-10-29T00:00:00"/>
    <d v="2025-12-28T00:00:00"/>
    <n v="60"/>
    <x v="1"/>
    <s v="Yes"/>
    <x v="0"/>
    <n v="1"/>
    <s v="Delayed"/>
    <x v="2"/>
    <n v="1"/>
    <x v="1"/>
    <n v="0"/>
  </r>
  <r>
    <s v="CUST_0073"/>
    <x v="2"/>
    <x v="1"/>
    <n v="65084"/>
    <n v="9300"/>
    <d v="2025-10-01T00:00:00"/>
    <d v="2025-10-01T00:00:00"/>
    <n v="0"/>
    <x v="0"/>
    <s v="Yes"/>
    <x v="8"/>
    <n v="0"/>
    <s v="On Time"/>
    <x v="1"/>
    <n v="1"/>
    <x v="0"/>
    <n v="1"/>
  </r>
  <r>
    <s v="CUST_0074"/>
    <x v="1"/>
    <x v="0"/>
    <n v="49629"/>
    <n v="4500"/>
    <d v="2025-10-24T00:00:00"/>
    <d v="2025-10-24T00:00:00"/>
    <n v="0"/>
    <x v="1"/>
    <s v="No"/>
    <x v="6"/>
    <n v="0"/>
    <s v="On Time"/>
    <x v="1"/>
    <n v="0"/>
    <x v="3"/>
    <n v="1"/>
  </r>
  <r>
    <s v="CUST_0075"/>
    <x v="1"/>
    <x v="0"/>
    <n v="71184"/>
    <n v="3700"/>
    <d v="2025-10-03T00:00:00"/>
    <d v="2025-10-03T00:00:00"/>
    <n v="0"/>
    <x v="1"/>
    <s v="No"/>
    <x v="6"/>
    <n v="0"/>
    <s v="On Time"/>
    <x v="1"/>
    <n v="0"/>
    <x v="0"/>
    <n v="1"/>
  </r>
  <r>
    <s v="CUST_0076"/>
    <x v="1"/>
    <x v="2"/>
    <n v="81916"/>
    <n v="9100"/>
    <d v="2025-10-22T00:00:00"/>
    <d v="2025-11-06T00:00:00"/>
    <n v="15"/>
    <x v="1"/>
    <s v="No"/>
    <x v="9"/>
    <n v="1"/>
    <s v="Delayed"/>
    <x v="2"/>
    <n v="0"/>
    <x v="2"/>
    <n v="0"/>
  </r>
  <r>
    <s v="CUST_0077"/>
    <x v="1"/>
    <x v="1"/>
    <n v="93972"/>
    <n v="8500"/>
    <d v="2025-10-19T00:00:00"/>
    <d v="2025-10-19T00:00:00"/>
    <n v="0"/>
    <x v="2"/>
    <s v="No"/>
    <x v="0"/>
    <n v="0"/>
    <s v="On Time"/>
    <x v="1"/>
    <n v="0"/>
    <x v="2"/>
    <n v="1"/>
  </r>
  <r>
    <s v="CUST_0078"/>
    <x v="2"/>
    <x v="2"/>
    <n v="82187"/>
    <n v="7500"/>
    <d v="2025-10-23T00:00:00"/>
    <d v="2025-10-23T00:00:00"/>
    <n v="0"/>
    <x v="1"/>
    <s v="Yes"/>
    <x v="9"/>
    <n v="0"/>
    <s v="On Time"/>
    <x v="1"/>
    <n v="1"/>
    <x v="2"/>
    <n v="1"/>
  </r>
  <r>
    <s v="CUST_0079"/>
    <x v="0"/>
    <x v="1"/>
    <n v="32984"/>
    <n v="4700"/>
    <d v="2025-10-29T00:00:00"/>
    <d v="2025-10-29T00:00:00"/>
    <n v="0"/>
    <x v="3"/>
    <s v="No"/>
    <x v="7"/>
    <n v="0"/>
    <s v="On Time"/>
    <x v="1"/>
    <n v="0"/>
    <x v="1"/>
    <n v="1"/>
  </r>
  <r>
    <s v="CUST_0080"/>
    <x v="2"/>
    <x v="1"/>
    <n v="53039"/>
    <n v="2300"/>
    <d v="2025-10-30T00:00:00"/>
    <d v="2025-11-06T00:00:00"/>
    <n v="7"/>
    <x v="0"/>
    <s v="Yes"/>
    <x v="4"/>
    <n v="1"/>
    <s v="Delayed"/>
    <x v="0"/>
    <n v="1"/>
    <x v="3"/>
    <n v="0"/>
  </r>
  <r>
    <s v="CUST_0081"/>
    <x v="1"/>
    <x v="1"/>
    <n v="78606"/>
    <n v="4400"/>
    <d v="2025-10-07T00:00:00"/>
    <d v="2025-10-07T00:00:00"/>
    <n v="0"/>
    <x v="2"/>
    <s v="No"/>
    <x v="6"/>
    <n v="0"/>
    <s v="On Time"/>
    <x v="1"/>
    <n v="0"/>
    <x v="0"/>
    <n v="1"/>
  </r>
  <r>
    <s v="CUST_0082"/>
    <x v="0"/>
    <x v="2"/>
    <n v="30616"/>
    <n v="2200"/>
    <d v="2025-10-12T00:00:00"/>
    <d v="2025-10-19T00:00:00"/>
    <n v="7"/>
    <x v="2"/>
    <s v="No"/>
    <x v="7"/>
    <n v="1"/>
    <s v="Delayed"/>
    <x v="0"/>
    <n v="0"/>
    <x v="1"/>
    <n v="0"/>
  </r>
  <r>
    <s v="CUST_0083"/>
    <x v="0"/>
    <x v="1"/>
    <n v="70072"/>
    <n v="3900"/>
    <d v="2025-10-15T00:00:00"/>
    <d v="2025-11-14T00:00:00"/>
    <n v="30"/>
    <x v="3"/>
    <s v="No"/>
    <x v="9"/>
    <n v="1"/>
    <s v="Delayed"/>
    <x v="2"/>
    <n v="0"/>
    <x v="0"/>
    <n v="0"/>
  </r>
  <r>
    <s v="CUST_0084"/>
    <x v="2"/>
    <x v="1"/>
    <n v="44574"/>
    <n v="2800"/>
    <d v="2025-10-25T00:00:00"/>
    <d v="2025-10-25T00:00:00"/>
    <n v="0"/>
    <x v="1"/>
    <s v="No"/>
    <x v="3"/>
    <n v="0"/>
    <s v="On Time"/>
    <x v="1"/>
    <n v="0"/>
    <x v="3"/>
    <n v="1"/>
  </r>
  <r>
    <s v="CUST_0085"/>
    <x v="0"/>
    <x v="0"/>
    <n v="23430"/>
    <n v="3900"/>
    <d v="2025-10-05T00:00:00"/>
    <d v="2025-10-20T00:00:00"/>
    <n v="15"/>
    <x v="3"/>
    <s v="Yes"/>
    <x v="2"/>
    <n v="1"/>
    <s v="Delayed"/>
    <x v="2"/>
    <n v="1"/>
    <x v="1"/>
    <n v="0"/>
  </r>
  <r>
    <s v="CUST_0086"/>
    <x v="0"/>
    <x v="1"/>
    <n v="32676"/>
    <n v="2700"/>
    <d v="2025-10-15T00:00:00"/>
    <d v="2025-10-15T00:00:00"/>
    <n v="0"/>
    <x v="0"/>
    <s v="No"/>
    <x v="6"/>
    <n v="0"/>
    <s v="On Time"/>
    <x v="1"/>
    <n v="0"/>
    <x v="1"/>
    <n v="1"/>
  </r>
  <r>
    <s v="CUST_0087"/>
    <x v="1"/>
    <x v="1"/>
    <n v="30816"/>
    <n v="1500"/>
    <d v="2025-10-08T00:00:00"/>
    <d v="2025-11-07T00:00:00"/>
    <n v="30"/>
    <x v="1"/>
    <s v="No"/>
    <x v="7"/>
    <n v="1"/>
    <s v="Delayed"/>
    <x v="2"/>
    <n v="0"/>
    <x v="1"/>
    <n v="0"/>
  </r>
  <r>
    <s v="CUST_0088"/>
    <x v="0"/>
    <x v="1"/>
    <n v="52733"/>
    <n v="8800"/>
    <d v="2025-10-10T00:00:00"/>
    <d v="2025-10-13T00:00:00"/>
    <n v="3"/>
    <x v="3"/>
    <s v="No"/>
    <x v="5"/>
    <n v="1"/>
    <s v="Delayed"/>
    <x v="0"/>
    <n v="0"/>
    <x v="3"/>
    <n v="0"/>
  </r>
  <r>
    <s v="CUST_0089"/>
    <x v="1"/>
    <x v="1"/>
    <n v="22050"/>
    <n v="1300"/>
    <d v="2025-10-26T00:00:00"/>
    <d v="2025-11-25T00:00:00"/>
    <n v="30"/>
    <x v="1"/>
    <s v="No"/>
    <x v="6"/>
    <n v="1"/>
    <s v="Delayed"/>
    <x v="2"/>
    <n v="0"/>
    <x v="1"/>
    <n v="0"/>
  </r>
  <r>
    <s v="CUST_0090"/>
    <x v="0"/>
    <x v="1"/>
    <n v="53933"/>
    <n v="4500"/>
    <d v="2025-10-16T00:00:00"/>
    <d v="2025-10-16T00:00:00"/>
    <n v="0"/>
    <x v="1"/>
    <s v="No"/>
    <x v="3"/>
    <n v="0"/>
    <s v="On Time"/>
    <x v="1"/>
    <n v="0"/>
    <x v="3"/>
    <n v="1"/>
  </r>
  <r>
    <s v="CUST_0091"/>
    <x v="2"/>
    <x v="1"/>
    <n v="44951"/>
    <n v="2200"/>
    <d v="2025-10-08T00:00:00"/>
    <d v="2025-10-08T00:00:00"/>
    <n v="0"/>
    <x v="1"/>
    <s v="No"/>
    <x v="1"/>
    <n v="0"/>
    <s v="On Time"/>
    <x v="1"/>
    <n v="0"/>
    <x v="3"/>
    <n v="1"/>
  </r>
  <r>
    <s v="CUST_0092"/>
    <x v="1"/>
    <x v="0"/>
    <n v="52413"/>
    <n v="8700"/>
    <d v="2025-10-01T00:00:00"/>
    <d v="2025-10-01T00:00:00"/>
    <n v="0"/>
    <x v="2"/>
    <s v="Yes"/>
    <x v="3"/>
    <n v="0"/>
    <s v="On Time"/>
    <x v="1"/>
    <n v="1"/>
    <x v="3"/>
    <n v="1"/>
  </r>
  <r>
    <s v="CUST_0093"/>
    <x v="1"/>
    <x v="1"/>
    <n v="54801"/>
    <n v="2500"/>
    <d v="2025-10-12T00:00:00"/>
    <d v="2025-10-12T00:00:00"/>
    <n v="0"/>
    <x v="3"/>
    <s v="No"/>
    <x v="3"/>
    <n v="0"/>
    <s v="On Time"/>
    <x v="1"/>
    <n v="0"/>
    <x v="3"/>
    <n v="1"/>
  </r>
  <r>
    <s v="CUST_0094"/>
    <x v="0"/>
    <x v="1"/>
    <n v="75619"/>
    <n v="3400"/>
    <d v="2025-10-05T00:00:00"/>
    <d v="2025-10-05T00:00:00"/>
    <n v="0"/>
    <x v="3"/>
    <s v="No"/>
    <x v="6"/>
    <n v="0"/>
    <s v="On Time"/>
    <x v="1"/>
    <n v="0"/>
    <x v="0"/>
    <n v="1"/>
  </r>
  <r>
    <s v="CUST_0095"/>
    <x v="1"/>
    <x v="0"/>
    <n v="52913"/>
    <n v="6600"/>
    <d v="2025-10-03T00:00:00"/>
    <d v="2025-10-03T00:00:00"/>
    <n v="0"/>
    <x v="3"/>
    <s v="No"/>
    <x v="3"/>
    <n v="0"/>
    <s v="On Time"/>
    <x v="1"/>
    <n v="0"/>
    <x v="3"/>
    <n v="1"/>
  </r>
  <r>
    <s v="CUST_0096"/>
    <x v="0"/>
    <x v="1"/>
    <n v="60600"/>
    <n v="3600"/>
    <d v="2025-10-01T00:00:00"/>
    <d v="2025-10-01T00:00:00"/>
    <n v="0"/>
    <x v="0"/>
    <s v="No"/>
    <x v="3"/>
    <n v="0"/>
    <s v="On Time"/>
    <x v="1"/>
    <n v="0"/>
    <x v="0"/>
    <n v="1"/>
  </r>
  <r>
    <s v="CUST_0097"/>
    <x v="0"/>
    <x v="0"/>
    <n v="77775"/>
    <n v="7100"/>
    <d v="2025-10-04T00:00:00"/>
    <d v="2025-10-04T00:00:00"/>
    <n v="0"/>
    <x v="3"/>
    <s v="Yes"/>
    <x v="1"/>
    <n v="0"/>
    <s v="On Time"/>
    <x v="1"/>
    <n v="1"/>
    <x v="0"/>
    <n v="1"/>
  </r>
  <r>
    <s v="CUST_0098"/>
    <x v="0"/>
    <x v="1"/>
    <n v="55400"/>
    <n v="3500"/>
    <d v="2025-10-08T00:00:00"/>
    <d v="2025-10-23T00:00:00"/>
    <n v="15"/>
    <x v="1"/>
    <s v="Yes"/>
    <x v="2"/>
    <n v="1"/>
    <s v="Delayed"/>
    <x v="2"/>
    <n v="1"/>
    <x v="3"/>
    <n v="0"/>
  </r>
  <r>
    <s v="CUST_0099"/>
    <x v="2"/>
    <x v="1"/>
    <n v="24494"/>
    <n v="3100"/>
    <d v="2025-10-03T00:00:00"/>
    <d v="2025-10-03T00:00:00"/>
    <n v="0"/>
    <x v="3"/>
    <s v="No"/>
    <x v="0"/>
    <n v="0"/>
    <s v="On Time"/>
    <x v="1"/>
    <n v="0"/>
    <x v="1"/>
    <n v="1"/>
  </r>
  <r>
    <s v="CUST_0100"/>
    <x v="2"/>
    <x v="1"/>
    <n v="94691"/>
    <n v="7300"/>
    <d v="2025-10-10T00:00:00"/>
    <d v="2025-10-10T00:00:00"/>
    <n v="0"/>
    <x v="2"/>
    <s v="No"/>
    <x v="0"/>
    <n v="0"/>
    <s v="On Time"/>
    <x v="1"/>
    <n v="0"/>
    <x v="2"/>
    <n v="1"/>
  </r>
  <r>
    <s v="CUST_0101"/>
    <x v="2"/>
    <x v="1"/>
    <n v="63001"/>
    <n v="3300"/>
    <d v="2025-10-02T00:00:00"/>
    <d v="2025-10-02T00:00:00"/>
    <n v="0"/>
    <x v="1"/>
    <s v="Yes"/>
    <x v="8"/>
    <n v="0"/>
    <s v="On Time"/>
    <x v="1"/>
    <n v="1"/>
    <x v="0"/>
    <n v="1"/>
  </r>
  <r>
    <s v="CUST_0102"/>
    <x v="0"/>
    <x v="1"/>
    <n v="87364"/>
    <n v="4600"/>
    <d v="2025-10-11T00:00:00"/>
    <d v="2025-10-11T00:00:00"/>
    <n v="0"/>
    <x v="0"/>
    <s v="No"/>
    <x v="5"/>
    <n v="0"/>
    <s v="On Time"/>
    <x v="1"/>
    <n v="0"/>
    <x v="2"/>
    <n v="1"/>
  </r>
  <r>
    <s v="CUST_0103"/>
    <x v="0"/>
    <x v="1"/>
    <n v="65028"/>
    <n v="4300"/>
    <d v="2025-10-25T00:00:00"/>
    <d v="2025-12-09T00:00:00"/>
    <n v="45"/>
    <x v="3"/>
    <s v="No"/>
    <x v="5"/>
    <n v="1"/>
    <s v="Delayed"/>
    <x v="2"/>
    <n v="0"/>
    <x v="0"/>
    <n v="0"/>
  </r>
  <r>
    <s v="CUST_0104"/>
    <x v="0"/>
    <x v="1"/>
    <n v="57573"/>
    <n v="8200"/>
    <d v="2025-10-10T00:00:00"/>
    <d v="2025-10-10T00:00:00"/>
    <n v="0"/>
    <x v="2"/>
    <s v="Yes"/>
    <x v="8"/>
    <n v="0"/>
    <s v="On Time"/>
    <x v="1"/>
    <n v="1"/>
    <x v="3"/>
    <n v="1"/>
  </r>
  <r>
    <s v="CUST_0105"/>
    <x v="1"/>
    <x v="1"/>
    <n v="20806"/>
    <n v="1100"/>
    <d v="2025-10-21T00:00:00"/>
    <d v="2025-10-28T00:00:00"/>
    <n v="7"/>
    <x v="2"/>
    <s v="No"/>
    <x v="2"/>
    <n v="1"/>
    <s v="Delayed"/>
    <x v="0"/>
    <n v="0"/>
    <x v="1"/>
    <n v="0"/>
  </r>
  <r>
    <s v="CUST_0106"/>
    <x v="0"/>
    <x v="1"/>
    <n v="76638"/>
    <n v="5500"/>
    <d v="2025-10-14T00:00:00"/>
    <d v="2025-11-28T00:00:00"/>
    <n v="45"/>
    <x v="3"/>
    <s v="No"/>
    <x v="0"/>
    <n v="1"/>
    <s v="Delayed"/>
    <x v="2"/>
    <n v="0"/>
    <x v="0"/>
    <n v="0"/>
  </r>
  <r>
    <s v="CUST_0107"/>
    <x v="0"/>
    <x v="1"/>
    <n v="49757"/>
    <n v="6200"/>
    <d v="2025-10-07T00:00:00"/>
    <d v="2025-10-22T00:00:00"/>
    <n v="15"/>
    <x v="3"/>
    <s v="No"/>
    <x v="9"/>
    <n v="1"/>
    <s v="Delayed"/>
    <x v="2"/>
    <n v="0"/>
    <x v="3"/>
    <n v="0"/>
  </r>
  <r>
    <s v="CUST_0108"/>
    <x v="1"/>
    <x v="1"/>
    <n v="54636"/>
    <n v="4200"/>
    <d v="2025-10-27T00:00:00"/>
    <d v="2025-10-30T00:00:00"/>
    <n v="3"/>
    <x v="2"/>
    <s v="No"/>
    <x v="4"/>
    <n v="1"/>
    <s v="Delayed"/>
    <x v="0"/>
    <n v="0"/>
    <x v="3"/>
    <n v="0"/>
  </r>
  <r>
    <s v="CUST_0109"/>
    <x v="0"/>
    <x v="0"/>
    <n v="68280"/>
    <n v="3300"/>
    <d v="2025-10-27T00:00:00"/>
    <d v="2025-11-11T00:00:00"/>
    <n v="15"/>
    <x v="2"/>
    <s v="Yes"/>
    <x v="2"/>
    <n v="1"/>
    <s v="Delayed"/>
    <x v="2"/>
    <n v="1"/>
    <x v="0"/>
    <n v="0"/>
  </r>
  <r>
    <s v="CUST_0110"/>
    <x v="2"/>
    <x v="0"/>
    <n v="44262"/>
    <n v="6300"/>
    <d v="2025-10-02T00:00:00"/>
    <d v="2025-12-01T00:00:00"/>
    <n v="60"/>
    <x v="1"/>
    <s v="No"/>
    <x v="9"/>
    <n v="1"/>
    <s v="Delayed"/>
    <x v="2"/>
    <n v="0"/>
    <x v="3"/>
    <n v="0"/>
  </r>
  <r>
    <s v="CUST_0111"/>
    <x v="0"/>
    <x v="1"/>
    <n v="82211"/>
    <n v="7500"/>
    <d v="2025-10-09T00:00:00"/>
    <d v="2025-10-12T00:00:00"/>
    <n v="3"/>
    <x v="2"/>
    <s v="No"/>
    <x v="8"/>
    <n v="1"/>
    <s v="Delayed"/>
    <x v="0"/>
    <n v="0"/>
    <x v="2"/>
    <n v="0"/>
  </r>
  <r>
    <s v="CUST_0112"/>
    <x v="2"/>
    <x v="0"/>
    <n v="74842"/>
    <n v="4400"/>
    <d v="2025-10-16T00:00:00"/>
    <d v="2025-10-19T00:00:00"/>
    <n v="3"/>
    <x v="2"/>
    <s v="No"/>
    <x v="8"/>
    <n v="1"/>
    <s v="Delayed"/>
    <x v="0"/>
    <n v="0"/>
    <x v="0"/>
    <n v="0"/>
  </r>
  <r>
    <s v="CUST_0113"/>
    <x v="1"/>
    <x v="0"/>
    <n v="76979"/>
    <n v="7700"/>
    <d v="2025-10-13T00:00:00"/>
    <d v="2025-10-16T00:00:00"/>
    <n v="3"/>
    <x v="2"/>
    <s v="No"/>
    <x v="7"/>
    <n v="1"/>
    <s v="Delayed"/>
    <x v="0"/>
    <n v="0"/>
    <x v="0"/>
    <n v="0"/>
  </r>
  <r>
    <s v="CUST_0114"/>
    <x v="1"/>
    <x v="1"/>
    <n v="58197"/>
    <n v="8300"/>
    <d v="2025-10-09T00:00:00"/>
    <d v="2025-10-09T00:00:00"/>
    <n v="0"/>
    <x v="1"/>
    <s v="No"/>
    <x v="9"/>
    <n v="0"/>
    <s v="On Time"/>
    <x v="1"/>
    <n v="0"/>
    <x v="3"/>
    <n v="1"/>
  </r>
  <r>
    <s v="CUST_0115"/>
    <x v="0"/>
    <x v="0"/>
    <n v="61844"/>
    <n v="2900"/>
    <d v="2025-10-20T00:00:00"/>
    <d v="2025-10-23T00:00:00"/>
    <n v="3"/>
    <x v="0"/>
    <s v="No"/>
    <x v="6"/>
    <n v="1"/>
    <s v="Delayed"/>
    <x v="0"/>
    <n v="0"/>
    <x v="0"/>
    <n v="0"/>
  </r>
  <r>
    <s v="CUST_0116"/>
    <x v="1"/>
    <x v="2"/>
    <n v="84754"/>
    <n v="8500"/>
    <d v="2025-10-04T00:00:00"/>
    <d v="2025-10-04T00:00:00"/>
    <n v="0"/>
    <x v="2"/>
    <s v="No"/>
    <x v="0"/>
    <n v="0"/>
    <s v="On Time"/>
    <x v="1"/>
    <n v="0"/>
    <x v="2"/>
    <n v="1"/>
  </r>
  <r>
    <s v="CUST_0117"/>
    <x v="1"/>
    <x v="1"/>
    <n v="54157"/>
    <n v="2700"/>
    <d v="2025-10-22T00:00:00"/>
    <d v="2025-10-22T00:00:00"/>
    <n v="0"/>
    <x v="1"/>
    <s v="No"/>
    <x v="9"/>
    <n v="0"/>
    <s v="On Time"/>
    <x v="1"/>
    <n v="0"/>
    <x v="3"/>
    <n v="1"/>
  </r>
  <r>
    <s v="CUST_0118"/>
    <x v="2"/>
    <x v="1"/>
    <n v="97129"/>
    <n v="5700"/>
    <d v="2025-10-10T00:00:00"/>
    <d v="2025-10-10T00:00:00"/>
    <n v="0"/>
    <x v="3"/>
    <s v="No"/>
    <x v="8"/>
    <n v="0"/>
    <s v="On Time"/>
    <x v="1"/>
    <n v="0"/>
    <x v="2"/>
    <n v="1"/>
  </r>
  <r>
    <s v="CUST_0119"/>
    <x v="1"/>
    <x v="0"/>
    <n v="60042"/>
    <n v="6700"/>
    <d v="2025-10-26T00:00:00"/>
    <d v="2025-10-26T00:00:00"/>
    <n v="0"/>
    <x v="2"/>
    <s v="No"/>
    <x v="8"/>
    <n v="0"/>
    <s v="On Time"/>
    <x v="1"/>
    <n v="0"/>
    <x v="0"/>
    <n v="1"/>
  </r>
  <r>
    <s v="CUST_0120"/>
    <x v="0"/>
    <x v="0"/>
    <n v="81665"/>
    <n v="4100"/>
    <d v="2025-10-26T00:00:00"/>
    <d v="2025-10-26T00:00:00"/>
    <n v="0"/>
    <x v="3"/>
    <s v="No"/>
    <x v="4"/>
    <n v="0"/>
    <s v="On Time"/>
    <x v="1"/>
    <n v="0"/>
    <x v="2"/>
    <n v="1"/>
  </r>
  <r>
    <s v="CUST_0121"/>
    <x v="1"/>
    <x v="1"/>
    <n v="47376"/>
    <n v="3000"/>
    <d v="2025-10-22T00:00:00"/>
    <d v="2025-10-22T00:00:00"/>
    <n v="0"/>
    <x v="2"/>
    <s v="Yes"/>
    <x v="1"/>
    <n v="0"/>
    <s v="On Time"/>
    <x v="1"/>
    <n v="1"/>
    <x v="3"/>
    <n v="1"/>
  </r>
  <r>
    <s v="CUST_0122"/>
    <x v="1"/>
    <x v="1"/>
    <n v="75554"/>
    <n v="3600"/>
    <d v="2025-10-12T00:00:00"/>
    <d v="2025-10-15T00:00:00"/>
    <n v="3"/>
    <x v="1"/>
    <s v="Yes"/>
    <x v="2"/>
    <n v="1"/>
    <s v="Delayed"/>
    <x v="0"/>
    <n v="1"/>
    <x v="0"/>
    <n v="0"/>
  </r>
  <r>
    <s v="CUST_0123"/>
    <x v="0"/>
    <x v="1"/>
    <n v="34199"/>
    <n v="3100"/>
    <d v="2025-10-17T00:00:00"/>
    <d v="2025-10-17T00:00:00"/>
    <n v="0"/>
    <x v="0"/>
    <s v="No"/>
    <x v="7"/>
    <n v="0"/>
    <s v="On Time"/>
    <x v="1"/>
    <n v="0"/>
    <x v="1"/>
    <n v="1"/>
  </r>
  <r>
    <s v="CUST_0124"/>
    <x v="2"/>
    <x v="1"/>
    <n v="70948"/>
    <n v="3700"/>
    <d v="2025-10-14T00:00:00"/>
    <d v="2025-10-29T00:00:00"/>
    <n v="15"/>
    <x v="3"/>
    <s v="No"/>
    <x v="8"/>
    <n v="1"/>
    <s v="Delayed"/>
    <x v="2"/>
    <n v="0"/>
    <x v="0"/>
    <n v="0"/>
  </r>
  <r>
    <s v="CUST_0125"/>
    <x v="0"/>
    <x v="0"/>
    <n v="93781"/>
    <n v="4100"/>
    <d v="2025-10-14T00:00:00"/>
    <d v="2025-10-14T00:00:00"/>
    <n v="0"/>
    <x v="1"/>
    <s v="No"/>
    <x v="4"/>
    <n v="0"/>
    <s v="On Time"/>
    <x v="1"/>
    <n v="0"/>
    <x v="2"/>
    <n v="1"/>
  </r>
  <r>
    <s v="CUST_0126"/>
    <x v="0"/>
    <x v="1"/>
    <n v="92750"/>
    <n v="5500"/>
    <d v="2025-10-25T00:00:00"/>
    <d v="2025-10-25T00:00:00"/>
    <n v="0"/>
    <x v="2"/>
    <s v="No"/>
    <x v="1"/>
    <n v="0"/>
    <s v="On Time"/>
    <x v="1"/>
    <n v="0"/>
    <x v="2"/>
    <n v="1"/>
  </r>
  <r>
    <s v="CUST_0127"/>
    <x v="1"/>
    <x v="1"/>
    <n v="86262"/>
    <n v="5400"/>
    <d v="2025-10-02T00:00:00"/>
    <d v="2025-10-09T00:00:00"/>
    <n v="7"/>
    <x v="3"/>
    <s v="No"/>
    <x v="6"/>
    <n v="1"/>
    <s v="Delayed"/>
    <x v="0"/>
    <n v="0"/>
    <x v="2"/>
    <n v="0"/>
  </r>
  <r>
    <s v="CUST_0128"/>
    <x v="1"/>
    <x v="0"/>
    <n v="66600"/>
    <n v="3700"/>
    <d v="2025-10-21T00:00:00"/>
    <d v="2025-10-24T00:00:00"/>
    <n v="3"/>
    <x v="3"/>
    <s v="Yes"/>
    <x v="2"/>
    <n v="1"/>
    <s v="Delayed"/>
    <x v="0"/>
    <n v="1"/>
    <x v="0"/>
    <n v="0"/>
  </r>
  <r>
    <s v="CUST_0129"/>
    <x v="2"/>
    <x v="1"/>
    <n v="96898"/>
    <n v="6100"/>
    <d v="2025-10-25T00:00:00"/>
    <d v="2025-10-25T00:00:00"/>
    <n v="0"/>
    <x v="3"/>
    <s v="No"/>
    <x v="5"/>
    <n v="0"/>
    <s v="On Time"/>
    <x v="1"/>
    <n v="0"/>
    <x v="2"/>
    <n v="1"/>
  </r>
  <r>
    <s v="CUST_0130"/>
    <x v="0"/>
    <x v="1"/>
    <n v="82483"/>
    <n v="3900"/>
    <d v="2025-10-20T00:00:00"/>
    <d v="2025-11-19T00:00:00"/>
    <n v="30"/>
    <x v="3"/>
    <s v="No"/>
    <x v="1"/>
    <n v="1"/>
    <s v="Delayed"/>
    <x v="2"/>
    <n v="0"/>
    <x v="2"/>
    <n v="0"/>
  </r>
  <r>
    <s v="CUST_0131"/>
    <x v="0"/>
    <x v="0"/>
    <n v="38297"/>
    <n v="1900"/>
    <d v="2025-10-11T00:00:00"/>
    <d v="2025-11-10T00:00:00"/>
    <n v="30"/>
    <x v="3"/>
    <s v="No"/>
    <x v="9"/>
    <n v="1"/>
    <s v="Delayed"/>
    <x v="2"/>
    <n v="0"/>
    <x v="1"/>
    <n v="0"/>
  </r>
  <r>
    <s v="CUST_0132"/>
    <x v="0"/>
    <x v="0"/>
    <n v="50448"/>
    <n v="2500"/>
    <d v="2025-10-16T00:00:00"/>
    <d v="2025-10-16T00:00:00"/>
    <n v="0"/>
    <x v="3"/>
    <s v="Yes"/>
    <x v="5"/>
    <n v="0"/>
    <s v="On Time"/>
    <x v="1"/>
    <n v="1"/>
    <x v="3"/>
    <n v="1"/>
  </r>
  <r>
    <s v="CUST_0133"/>
    <x v="2"/>
    <x v="0"/>
    <n v="46172"/>
    <n v="5100"/>
    <d v="2025-10-19T00:00:00"/>
    <d v="2025-10-19T00:00:00"/>
    <n v="0"/>
    <x v="3"/>
    <s v="No"/>
    <x v="3"/>
    <n v="0"/>
    <s v="On Time"/>
    <x v="1"/>
    <n v="0"/>
    <x v="3"/>
    <n v="1"/>
  </r>
  <r>
    <s v="CUST_0134"/>
    <x v="0"/>
    <x v="0"/>
    <n v="62874"/>
    <n v="3900"/>
    <d v="2025-10-23T00:00:00"/>
    <d v="2025-12-22T00:00:00"/>
    <n v="60"/>
    <x v="1"/>
    <s v="No"/>
    <x v="9"/>
    <n v="1"/>
    <s v="Delayed"/>
    <x v="2"/>
    <n v="0"/>
    <x v="0"/>
    <n v="0"/>
  </r>
  <r>
    <s v="CUST_0135"/>
    <x v="1"/>
    <x v="1"/>
    <n v="27657"/>
    <n v="1400"/>
    <d v="2025-10-06T00:00:00"/>
    <d v="2025-10-09T00:00:00"/>
    <n v="3"/>
    <x v="2"/>
    <s v="No"/>
    <x v="9"/>
    <n v="1"/>
    <s v="Delayed"/>
    <x v="0"/>
    <n v="0"/>
    <x v="1"/>
    <n v="0"/>
  </r>
  <r>
    <s v="CUST_0136"/>
    <x v="0"/>
    <x v="1"/>
    <n v="45425"/>
    <n v="5000"/>
    <d v="2025-10-24T00:00:00"/>
    <d v="2025-10-24T00:00:00"/>
    <n v="0"/>
    <x v="0"/>
    <s v="No"/>
    <x v="1"/>
    <n v="0"/>
    <s v="On Time"/>
    <x v="1"/>
    <n v="0"/>
    <x v="3"/>
    <n v="1"/>
  </r>
  <r>
    <s v="CUST_0137"/>
    <x v="0"/>
    <x v="0"/>
    <n v="46685"/>
    <n v="2600"/>
    <d v="2025-10-19T00:00:00"/>
    <d v="2025-11-03T00:00:00"/>
    <n v="15"/>
    <x v="2"/>
    <s v="No"/>
    <x v="4"/>
    <n v="1"/>
    <s v="Delayed"/>
    <x v="2"/>
    <n v="0"/>
    <x v="3"/>
    <n v="0"/>
  </r>
  <r>
    <s v="CUST_0138"/>
    <x v="1"/>
    <x v="1"/>
    <n v="44578"/>
    <n v="6400"/>
    <d v="2025-10-05T00:00:00"/>
    <d v="2025-10-05T00:00:00"/>
    <n v="0"/>
    <x v="1"/>
    <s v="Yes"/>
    <x v="9"/>
    <n v="0"/>
    <s v="On Time"/>
    <x v="1"/>
    <n v="1"/>
    <x v="3"/>
    <n v="1"/>
  </r>
  <r>
    <s v="CUST_0139"/>
    <x v="0"/>
    <x v="1"/>
    <n v="48831"/>
    <n v="2600"/>
    <d v="2025-10-26T00:00:00"/>
    <d v="2025-10-26T00:00:00"/>
    <n v="0"/>
    <x v="0"/>
    <s v="No"/>
    <x v="0"/>
    <n v="0"/>
    <s v="On Time"/>
    <x v="1"/>
    <n v="0"/>
    <x v="3"/>
    <n v="1"/>
  </r>
  <r>
    <s v="CUST_0140"/>
    <x v="1"/>
    <x v="1"/>
    <n v="27906"/>
    <n v="3100"/>
    <d v="2025-10-04T00:00:00"/>
    <d v="2025-10-04T00:00:00"/>
    <n v="0"/>
    <x v="1"/>
    <s v="No"/>
    <x v="4"/>
    <n v="0"/>
    <s v="On Time"/>
    <x v="1"/>
    <n v="0"/>
    <x v="1"/>
    <n v="1"/>
  </r>
  <r>
    <s v="CUST_0141"/>
    <x v="1"/>
    <x v="1"/>
    <n v="81413"/>
    <n v="3900"/>
    <d v="2025-10-15T00:00:00"/>
    <d v="2025-10-22T00:00:00"/>
    <n v="7"/>
    <x v="2"/>
    <s v="No"/>
    <x v="1"/>
    <n v="1"/>
    <s v="Delayed"/>
    <x v="0"/>
    <n v="0"/>
    <x v="2"/>
    <n v="0"/>
  </r>
  <r>
    <s v="CUST_0142"/>
    <x v="0"/>
    <x v="1"/>
    <n v="74028"/>
    <n v="3900"/>
    <d v="2025-10-29T00:00:00"/>
    <d v="2025-11-01T00:00:00"/>
    <n v="3"/>
    <x v="1"/>
    <s v="No"/>
    <x v="9"/>
    <n v="1"/>
    <s v="Delayed"/>
    <x v="0"/>
    <n v="0"/>
    <x v="0"/>
    <n v="0"/>
  </r>
  <r>
    <s v="CUST_0143"/>
    <x v="0"/>
    <x v="1"/>
    <n v="27287"/>
    <n v="1400"/>
    <d v="2025-10-04T00:00:00"/>
    <d v="2025-10-07T00:00:00"/>
    <n v="3"/>
    <x v="3"/>
    <s v="No"/>
    <x v="9"/>
    <n v="1"/>
    <s v="Delayed"/>
    <x v="0"/>
    <n v="0"/>
    <x v="1"/>
    <n v="0"/>
  </r>
  <r>
    <s v="CUST_0144"/>
    <x v="0"/>
    <x v="1"/>
    <n v="53660"/>
    <n v="6700"/>
    <d v="2025-10-20T00:00:00"/>
    <d v="2025-10-20T00:00:00"/>
    <n v="0"/>
    <x v="3"/>
    <s v="No"/>
    <x v="5"/>
    <n v="0"/>
    <s v="On Time"/>
    <x v="1"/>
    <n v="0"/>
    <x v="3"/>
    <n v="1"/>
  </r>
  <r>
    <s v="CUST_0145"/>
    <x v="0"/>
    <x v="1"/>
    <n v="95758"/>
    <n v="7400"/>
    <d v="2025-10-10T00:00:00"/>
    <d v="2025-10-10T00:00:00"/>
    <n v="0"/>
    <x v="2"/>
    <s v="No"/>
    <x v="6"/>
    <n v="0"/>
    <s v="On Time"/>
    <x v="1"/>
    <n v="0"/>
    <x v="2"/>
    <n v="1"/>
  </r>
  <r>
    <s v="CUST_0146"/>
    <x v="2"/>
    <x v="0"/>
    <n v="80504"/>
    <n v="3800"/>
    <d v="2025-10-24T00:00:00"/>
    <d v="2025-10-24T00:00:00"/>
    <n v="0"/>
    <x v="2"/>
    <s v="No"/>
    <x v="3"/>
    <n v="0"/>
    <s v="On Time"/>
    <x v="1"/>
    <n v="0"/>
    <x v="2"/>
    <n v="1"/>
  </r>
  <r>
    <s v="CUST_0147"/>
    <x v="0"/>
    <x v="0"/>
    <n v="79720"/>
    <n v="5300"/>
    <d v="2025-10-22T00:00:00"/>
    <d v="2025-10-29T00:00:00"/>
    <n v="7"/>
    <x v="3"/>
    <s v="No"/>
    <x v="4"/>
    <n v="1"/>
    <s v="Delayed"/>
    <x v="0"/>
    <n v="0"/>
    <x v="0"/>
    <n v="0"/>
  </r>
  <r>
    <s v="CUST_0148"/>
    <x v="0"/>
    <x v="0"/>
    <n v="54701"/>
    <n v="6100"/>
    <d v="2025-10-03T00:00:00"/>
    <d v="2025-10-03T00:00:00"/>
    <n v="0"/>
    <x v="0"/>
    <s v="Yes"/>
    <x v="2"/>
    <n v="0"/>
    <s v="On Time"/>
    <x v="1"/>
    <n v="1"/>
    <x v="3"/>
    <n v="1"/>
  </r>
  <r>
    <s v="CUST_0149"/>
    <x v="2"/>
    <x v="0"/>
    <n v="37674"/>
    <n v="1600"/>
    <d v="2025-10-26T00:00:00"/>
    <d v="2025-10-26T00:00:00"/>
    <n v="0"/>
    <x v="1"/>
    <s v="No"/>
    <x v="4"/>
    <n v="0"/>
    <s v="On Time"/>
    <x v="1"/>
    <n v="0"/>
    <x v="1"/>
    <n v="1"/>
  </r>
  <r>
    <s v="CUST_0150"/>
    <x v="0"/>
    <x v="1"/>
    <n v="43874"/>
    <n v="6300"/>
    <d v="2025-10-05T00:00:00"/>
    <d v="2025-10-20T00:00:00"/>
    <n v="15"/>
    <x v="2"/>
    <s v="No"/>
    <x v="5"/>
    <n v="1"/>
    <s v="Delayed"/>
    <x v="2"/>
    <n v="0"/>
    <x v="3"/>
    <n v="0"/>
  </r>
  <r>
    <s v="CUST_0151"/>
    <x v="1"/>
    <x v="1"/>
    <n v="63642"/>
    <n v="2900"/>
    <d v="2025-10-06T00:00:00"/>
    <d v="2025-10-06T00:00:00"/>
    <n v="0"/>
    <x v="0"/>
    <s v="No"/>
    <x v="5"/>
    <n v="0"/>
    <s v="On Time"/>
    <x v="1"/>
    <n v="0"/>
    <x v="0"/>
    <n v="1"/>
  </r>
  <r>
    <s v="CUST_0152"/>
    <x v="0"/>
    <x v="0"/>
    <n v="85160"/>
    <n v="4700"/>
    <d v="2025-10-21T00:00:00"/>
    <d v="2025-12-05T00:00:00"/>
    <n v="45"/>
    <x v="2"/>
    <s v="No"/>
    <x v="0"/>
    <n v="1"/>
    <s v="Delayed"/>
    <x v="2"/>
    <n v="0"/>
    <x v="2"/>
    <n v="0"/>
  </r>
  <r>
    <s v="CUST_0153"/>
    <x v="2"/>
    <x v="0"/>
    <n v="37602"/>
    <n v="4200"/>
    <d v="2025-10-22T00:00:00"/>
    <d v="2025-10-22T00:00:00"/>
    <n v="0"/>
    <x v="0"/>
    <s v="No"/>
    <x v="1"/>
    <n v="0"/>
    <s v="On Time"/>
    <x v="1"/>
    <n v="0"/>
    <x v="1"/>
    <n v="1"/>
  </r>
  <r>
    <s v="CUST_0154"/>
    <x v="0"/>
    <x v="0"/>
    <n v="45931"/>
    <n v="2900"/>
    <d v="2025-10-08T00:00:00"/>
    <d v="2025-10-11T00:00:00"/>
    <n v="3"/>
    <x v="2"/>
    <s v="No"/>
    <x v="2"/>
    <n v="1"/>
    <s v="Delayed"/>
    <x v="0"/>
    <n v="0"/>
    <x v="3"/>
    <n v="0"/>
  </r>
  <r>
    <s v="CUST_0155"/>
    <x v="1"/>
    <x v="1"/>
    <n v="49192"/>
    <n v="4100"/>
    <d v="2025-10-07T00:00:00"/>
    <d v="2025-10-07T00:00:00"/>
    <n v="0"/>
    <x v="3"/>
    <s v="Yes"/>
    <x v="2"/>
    <n v="0"/>
    <s v="On Time"/>
    <x v="1"/>
    <n v="1"/>
    <x v="3"/>
    <n v="1"/>
  </r>
  <r>
    <s v="CUST_0156"/>
    <x v="0"/>
    <x v="1"/>
    <n v="66542"/>
    <n v="3900"/>
    <d v="2025-10-21T00:00:00"/>
    <d v="2025-11-20T00:00:00"/>
    <n v="30"/>
    <x v="1"/>
    <s v="No"/>
    <x v="3"/>
    <n v="1"/>
    <s v="Delayed"/>
    <x v="2"/>
    <n v="0"/>
    <x v="0"/>
    <n v="0"/>
  </r>
  <r>
    <s v="CUST_0157"/>
    <x v="0"/>
    <x v="1"/>
    <n v="62520"/>
    <n v="4200"/>
    <d v="2025-10-10T00:00:00"/>
    <d v="2025-10-10T00:00:00"/>
    <n v="0"/>
    <x v="1"/>
    <s v="No"/>
    <x v="1"/>
    <n v="0"/>
    <s v="On Time"/>
    <x v="1"/>
    <n v="0"/>
    <x v="0"/>
    <n v="1"/>
  </r>
  <r>
    <s v="CUST_0158"/>
    <x v="1"/>
    <x v="1"/>
    <n v="84772"/>
    <n v="7100"/>
    <d v="2025-10-06T00:00:00"/>
    <d v="2025-10-06T00:00:00"/>
    <n v="0"/>
    <x v="1"/>
    <s v="No"/>
    <x v="7"/>
    <n v="0"/>
    <s v="On Time"/>
    <x v="1"/>
    <n v="0"/>
    <x v="2"/>
    <n v="1"/>
  </r>
  <r>
    <s v="CUST_0159"/>
    <x v="0"/>
    <x v="0"/>
    <n v="78762"/>
    <n v="4400"/>
    <d v="2025-10-14T00:00:00"/>
    <d v="2025-10-14T00:00:00"/>
    <n v="0"/>
    <x v="0"/>
    <s v="No"/>
    <x v="5"/>
    <n v="0"/>
    <s v="On Time"/>
    <x v="1"/>
    <n v="0"/>
    <x v="0"/>
    <n v="1"/>
  </r>
  <r>
    <s v="CUST_0160"/>
    <x v="1"/>
    <x v="0"/>
    <n v="70106"/>
    <n v="5800"/>
    <d v="2025-10-04T00:00:00"/>
    <d v="2025-10-04T00:00:00"/>
    <n v="0"/>
    <x v="1"/>
    <s v="Yes"/>
    <x v="2"/>
    <n v="0"/>
    <s v="On Time"/>
    <x v="1"/>
    <n v="1"/>
    <x v="0"/>
    <n v="1"/>
  </r>
  <r>
    <s v="CUST_0161"/>
    <x v="0"/>
    <x v="1"/>
    <n v="45559"/>
    <n v="2100"/>
    <d v="2025-10-28T00:00:00"/>
    <d v="2025-10-28T00:00:00"/>
    <n v="0"/>
    <x v="1"/>
    <s v="Yes"/>
    <x v="6"/>
    <n v="0"/>
    <s v="On Time"/>
    <x v="1"/>
    <n v="1"/>
    <x v="3"/>
    <n v="1"/>
  </r>
  <r>
    <s v="CUST_0162"/>
    <x v="0"/>
    <x v="2"/>
    <n v="53742"/>
    <n v="3600"/>
    <d v="2025-10-25T00:00:00"/>
    <d v="2025-12-09T00:00:00"/>
    <n v="45"/>
    <x v="0"/>
    <s v="No"/>
    <x v="2"/>
    <n v="1"/>
    <s v="Delayed"/>
    <x v="2"/>
    <n v="0"/>
    <x v="3"/>
    <n v="0"/>
  </r>
  <r>
    <s v="CUST_0163"/>
    <x v="0"/>
    <x v="0"/>
    <n v="89669"/>
    <n v="6000"/>
    <d v="2025-10-13T00:00:00"/>
    <d v="2025-10-13T00:00:00"/>
    <n v="0"/>
    <x v="1"/>
    <s v="No"/>
    <x v="8"/>
    <n v="0"/>
    <s v="On Time"/>
    <x v="1"/>
    <n v="0"/>
    <x v="2"/>
    <n v="1"/>
  </r>
  <r>
    <s v="CUST_0164"/>
    <x v="0"/>
    <x v="1"/>
    <n v="41754"/>
    <n v="4600"/>
    <d v="2025-10-20T00:00:00"/>
    <d v="2025-10-27T00:00:00"/>
    <n v="7"/>
    <x v="2"/>
    <s v="No"/>
    <x v="8"/>
    <n v="1"/>
    <s v="Delayed"/>
    <x v="0"/>
    <n v="0"/>
    <x v="1"/>
    <n v="0"/>
  </r>
  <r>
    <s v="CUST_0165"/>
    <x v="2"/>
    <x v="1"/>
    <n v="23972"/>
    <n v="2700"/>
    <d v="2025-10-17T00:00:00"/>
    <d v="2025-10-20T00:00:00"/>
    <n v="3"/>
    <x v="0"/>
    <s v="No"/>
    <x v="3"/>
    <n v="1"/>
    <s v="Delayed"/>
    <x v="0"/>
    <n v="0"/>
    <x v="1"/>
    <n v="0"/>
  </r>
  <r>
    <s v="CUST_0166"/>
    <x v="1"/>
    <x v="1"/>
    <n v="90831"/>
    <n v="7600"/>
    <d v="2025-10-23T00:00:00"/>
    <d v="2025-10-26T00:00:00"/>
    <n v="3"/>
    <x v="3"/>
    <s v="No"/>
    <x v="2"/>
    <n v="1"/>
    <s v="Delayed"/>
    <x v="0"/>
    <n v="0"/>
    <x v="2"/>
    <n v="0"/>
  </r>
  <r>
    <s v="CUST_0167"/>
    <x v="0"/>
    <x v="1"/>
    <n v="61873"/>
    <n v="10300"/>
    <d v="2025-10-07T00:00:00"/>
    <d v="2025-10-07T00:00:00"/>
    <n v="0"/>
    <x v="1"/>
    <s v="No"/>
    <x v="2"/>
    <n v="0"/>
    <s v="On Time"/>
    <x v="1"/>
    <n v="0"/>
    <x v="0"/>
    <n v="1"/>
  </r>
  <r>
    <s v="CUST_0168"/>
    <x v="2"/>
    <x v="1"/>
    <n v="29903"/>
    <n v="1800"/>
    <d v="2025-10-04T00:00:00"/>
    <d v="2025-10-04T00:00:00"/>
    <n v="0"/>
    <x v="0"/>
    <s v="No"/>
    <x v="3"/>
    <n v="0"/>
    <s v="On Time"/>
    <x v="1"/>
    <n v="0"/>
    <x v="1"/>
    <n v="1"/>
  </r>
  <r>
    <s v="CUST_0169"/>
    <x v="2"/>
    <x v="1"/>
    <n v="23020"/>
    <n v="1300"/>
    <d v="2025-10-29T00:00:00"/>
    <d v="2025-11-05T00:00:00"/>
    <n v="7"/>
    <x v="1"/>
    <s v="No"/>
    <x v="6"/>
    <n v="1"/>
    <s v="Delayed"/>
    <x v="0"/>
    <n v="0"/>
    <x v="1"/>
    <n v="0"/>
  </r>
  <r>
    <s v="CUST_0170"/>
    <x v="0"/>
    <x v="1"/>
    <n v="61755"/>
    <n v="4100"/>
    <d v="2025-10-14T00:00:00"/>
    <d v="2025-11-28T00:00:00"/>
    <n v="45"/>
    <x v="1"/>
    <s v="No"/>
    <x v="6"/>
    <n v="1"/>
    <s v="Delayed"/>
    <x v="2"/>
    <n v="0"/>
    <x v="0"/>
    <n v="0"/>
  </r>
  <r>
    <s v="CUST_0171"/>
    <x v="0"/>
    <x v="1"/>
    <n v="65648"/>
    <n v="3300"/>
    <d v="2025-10-03T00:00:00"/>
    <d v="2025-10-03T00:00:00"/>
    <n v="0"/>
    <x v="1"/>
    <s v="No"/>
    <x v="5"/>
    <n v="0"/>
    <s v="On Time"/>
    <x v="1"/>
    <n v="0"/>
    <x v="0"/>
    <n v="1"/>
  </r>
  <r>
    <s v="CUST_0172"/>
    <x v="2"/>
    <x v="0"/>
    <n v="29516"/>
    <n v="1600"/>
    <d v="2025-10-24T00:00:00"/>
    <d v="2025-10-24T00:00:00"/>
    <n v="0"/>
    <x v="2"/>
    <s v="Yes"/>
    <x v="7"/>
    <n v="0"/>
    <s v="On Time"/>
    <x v="1"/>
    <n v="1"/>
    <x v="1"/>
    <n v="1"/>
  </r>
  <r>
    <s v="CUST_0173"/>
    <x v="0"/>
    <x v="1"/>
    <n v="22396"/>
    <n v="1600"/>
    <d v="2025-10-05T00:00:00"/>
    <d v="2025-10-05T00:00:00"/>
    <n v="0"/>
    <x v="0"/>
    <s v="No"/>
    <x v="6"/>
    <n v="0"/>
    <s v="On Time"/>
    <x v="1"/>
    <n v="0"/>
    <x v="1"/>
    <n v="1"/>
  </r>
  <r>
    <s v="CUST_0174"/>
    <x v="0"/>
    <x v="0"/>
    <n v="39129"/>
    <n v="2800"/>
    <d v="2025-10-16T00:00:00"/>
    <d v="2025-12-15T00:00:00"/>
    <n v="60"/>
    <x v="3"/>
    <s v="No"/>
    <x v="3"/>
    <n v="1"/>
    <s v="Delayed"/>
    <x v="2"/>
    <n v="0"/>
    <x v="1"/>
    <n v="0"/>
  </r>
  <r>
    <s v="CUST_0175"/>
    <x v="0"/>
    <x v="1"/>
    <n v="21591"/>
    <n v="1100"/>
    <d v="2025-10-26T00:00:00"/>
    <d v="2025-10-26T00:00:00"/>
    <n v="0"/>
    <x v="3"/>
    <s v="No"/>
    <x v="0"/>
    <n v="0"/>
    <s v="On Time"/>
    <x v="1"/>
    <n v="0"/>
    <x v="1"/>
    <n v="1"/>
  </r>
  <r>
    <s v="CUST_0176"/>
    <x v="2"/>
    <x v="2"/>
    <n v="31303"/>
    <n v="2100"/>
    <d v="2025-10-23T00:00:00"/>
    <d v="2025-10-23T00:00:00"/>
    <n v="0"/>
    <x v="3"/>
    <s v="No"/>
    <x v="0"/>
    <n v="0"/>
    <s v="On Time"/>
    <x v="1"/>
    <n v="0"/>
    <x v="1"/>
    <n v="1"/>
  </r>
  <r>
    <s v="CUST_0177"/>
    <x v="0"/>
    <x v="1"/>
    <n v="50561"/>
    <n v="3400"/>
    <d v="2025-10-20T00:00:00"/>
    <d v="2025-11-19T00:00:00"/>
    <n v="30"/>
    <x v="2"/>
    <s v="No"/>
    <x v="8"/>
    <n v="1"/>
    <s v="Delayed"/>
    <x v="2"/>
    <n v="0"/>
    <x v="3"/>
    <n v="0"/>
  </r>
  <r>
    <s v="CUST_0178"/>
    <x v="0"/>
    <x v="1"/>
    <n v="91719"/>
    <n v="7100"/>
    <d v="2025-10-04T00:00:00"/>
    <d v="2025-10-04T00:00:00"/>
    <n v="0"/>
    <x v="2"/>
    <s v="No"/>
    <x v="6"/>
    <n v="0"/>
    <s v="On Time"/>
    <x v="1"/>
    <n v="0"/>
    <x v="2"/>
    <n v="1"/>
  </r>
  <r>
    <s v="CUST_0179"/>
    <x v="1"/>
    <x v="2"/>
    <n v="27314"/>
    <n v="1300"/>
    <d v="2025-10-24T00:00:00"/>
    <d v="2025-10-24T00:00:00"/>
    <n v="0"/>
    <x v="1"/>
    <s v="Yes"/>
    <x v="3"/>
    <n v="0"/>
    <s v="On Time"/>
    <x v="1"/>
    <n v="1"/>
    <x v="1"/>
    <n v="1"/>
  </r>
  <r>
    <s v="CUST_0180"/>
    <x v="2"/>
    <x v="0"/>
    <n v="39623"/>
    <n v="1800"/>
    <d v="2025-10-30T00:00:00"/>
    <d v="2025-11-02T00:00:00"/>
    <n v="3"/>
    <x v="2"/>
    <s v="No"/>
    <x v="6"/>
    <n v="1"/>
    <s v="Delayed"/>
    <x v="0"/>
    <n v="0"/>
    <x v="1"/>
    <n v="0"/>
  </r>
  <r>
    <s v="CUST_0181"/>
    <x v="0"/>
    <x v="0"/>
    <n v="87675"/>
    <n v="8800"/>
    <d v="2025-10-24T00:00:00"/>
    <d v="2025-11-23T00:00:00"/>
    <n v="30"/>
    <x v="2"/>
    <s v="No"/>
    <x v="8"/>
    <n v="1"/>
    <s v="Delayed"/>
    <x v="2"/>
    <n v="0"/>
    <x v="2"/>
    <n v="0"/>
  </r>
  <r>
    <s v="CUST_0182"/>
    <x v="2"/>
    <x v="1"/>
    <n v="85082"/>
    <n v="9500"/>
    <d v="2025-10-02T00:00:00"/>
    <d v="2025-10-02T00:00:00"/>
    <n v="0"/>
    <x v="3"/>
    <s v="No"/>
    <x v="9"/>
    <n v="0"/>
    <s v="On Time"/>
    <x v="1"/>
    <n v="0"/>
    <x v="2"/>
    <n v="1"/>
  </r>
  <r>
    <s v="CUST_0183"/>
    <x v="1"/>
    <x v="1"/>
    <n v="53130"/>
    <n v="2300"/>
    <d v="2025-10-30T00:00:00"/>
    <d v="2025-10-30T00:00:00"/>
    <n v="0"/>
    <x v="2"/>
    <s v="No"/>
    <x v="4"/>
    <n v="0"/>
    <s v="On Time"/>
    <x v="1"/>
    <n v="0"/>
    <x v="3"/>
    <n v="1"/>
  </r>
  <r>
    <s v="CUST_0184"/>
    <x v="1"/>
    <x v="0"/>
    <n v="71756"/>
    <n v="8000"/>
    <d v="2025-10-18T00:00:00"/>
    <d v="2025-10-18T00:00:00"/>
    <n v="0"/>
    <x v="1"/>
    <s v="Yes"/>
    <x v="5"/>
    <n v="0"/>
    <s v="On Time"/>
    <x v="1"/>
    <n v="1"/>
    <x v="0"/>
    <n v="1"/>
  </r>
  <r>
    <s v="CUST_0185"/>
    <x v="0"/>
    <x v="2"/>
    <n v="46292"/>
    <n v="3900"/>
    <d v="2025-10-19T00:00:00"/>
    <d v="2025-10-19T00:00:00"/>
    <n v="0"/>
    <x v="3"/>
    <s v="No"/>
    <x v="5"/>
    <n v="0"/>
    <s v="On Time"/>
    <x v="1"/>
    <n v="0"/>
    <x v="3"/>
    <n v="1"/>
  </r>
  <r>
    <s v="CUST_0186"/>
    <x v="0"/>
    <x v="0"/>
    <n v="89274"/>
    <n v="6000"/>
    <d v="2025-10-28T00:00:00"/>
    <d v="2025-10-31T00:00:00"/>
    <n v="3"/>
    <x v="3"/>
    <s v="No"/>
    <x v="8"/>
    <n v="1"/>
    <s v="Delayed"/>
    <x v="0"/>
    <n v="0"/>
    <x v="2"/>
    <n v="0"/>
  </r>
  <r>
    <s v="CUST_0187"/>
    <x v="1"/>
    <x v="0"/>
    <n v="22469"/>
    <n v="1000"/>
    <d v="2025-10-28T00:00:00"/>
    <d v="2025-10-28T00:00:00"/>
    <n v="0"/>
    <x v="3"/>
    <s v="No"/>
    <x v="5"/>
    <n v="0"/>
    <s v="On Time"/>
    <x v="1"/>
    <n v="0"/>
    <x v="1"/>
    <n v="1"/>
  </r>
  <r>
    <s v="CUST_0188"/>
    <x v="0"/>
    <x v="1"/>
    <n v="73947"/>
    <n v="8200"/>
    <d v="2025-10-19T00:00:00"/>
    <d v="2025-10-19T00:00:00"/>
    <n v="0"/>
    <x v="3"/>
    <s v="No"/>
    <x v="3"/>
    <n v="0"/>
    <s v="On Time"/>
    <x v="1"/>
    <n v="0"/>
    <x v="0"/>
    <n v="1"/>
  </r>
  <r>
    <s v="CUST_0189"/>
    <x v="0"/>
    <x v="0"/>
    <n v="42534"/>
    <n v="2800"/>
    <d v="2025-10-17T00:00:00"/>
    <d v="2025-10-17T00:00:00"/>
    <n v="0"/>
    <x v="2"/>
    <s v="No"/>
    <x v="9"/>
    <n v="0"/>
    <s v="On Time"/>
    <x v="1"/>
    <n v="0"/>
    <x v="1"/>
    <n v="1"/>
  </r>
  <r>
    <s v="CUST_0190"/>
    <x v="0"/>
    <x v="1"/>
    <n v="83620"/>
    <n v="13900"/>
    <d v="2025-10-14T00:00:00"/>
    <d v="2025-10-17T00:00:00"/>
    <n v="3"/>
    <x v="3"/>
    <s v="Yes"/>
    <x v="9"/>
    <n v="1"/>
    <s v="Delayed"/>
    <x v="0"/>
    <n v="1"/>
    <x v="2"/>
    <n v="0"/>
  </r>
  <r>
    <s v="CUST_0191"/>
    <x v="2"/>
    <x v="1"/>
    <n v="68874"/>
    <n v="3000"/>
    <d v="2025-10-19T00:00:00"/>
    <d v="2025-10-19T00:00:00"/>
    <n v="0"/>
    <x v="1"/>
    <s v="No"/>
    <x v="1"/>
    <n v="0"/>
    <s v="On Time"/>
    <x v="1"/>
    <n v="0"/>
    <x v="0"/>
    <n v="1"/>
  </r>
  <r>
    <s v="CUST_0192"/>
    <x v="1"/>
    <x v="1"/>
    <n v="69708"/>
    <n v="7000"/>
    <d v="2025-10-22T00:00:00"/>
    <d v="2025-11-06T00:00:00"/>
    <n v="15"/>
    <x v="1"/>
    <s v="No"/>
    <x v="0"/>
    <n v="1"/>
    <s v="Delayed"/>
    <x v="2"/>
    <n v="0"/>
    <x v="0"/>
    <n v="0"/>
  </r>
  <r>
    <s v="CUST_0193"/>
    <x v="1"/>
    <x v="0"/>
    <n v="94553"/>
    <n v="4700"/>
    <d v="2025-10-24T00:00:00"/>
    <d v="2025-10-24T00:00:00"/>
    <n v="0"/>
    <x v="2"/>
    <s v="Yes"/>
    <x v="2"/>
    <n v="0"/>
    <s v="On Time"/>
    <x v="1"/>
    <n v="1"/>
    <x v="2"/>
    <n v="1"/>
  </r>
  <r>
    <s v="CUST_0194"/>
    <x v="0"/>
    <x v="1"/>
    <n v="88344"/>
    <n v="4000"/>
    <d v="2025-10-13T00:00:00"/>
    <d v="2025-10-28T00:00:00"/>
    <n v="15"/>
    <x v="0"/>
    <s v="Yes"/>
    <x v="3"/>
    <n v="1"/>
    <s v="Delayed"/>
    <x v="2"/>
    <n v="1"/>
    <x v="2"/>
    <n v="0"/>
  </r>
  <r>
    <s v="CUST_0195"/>
    <x v="0"/>
    <x v="1"/>
    <n v="69138"/>
    <n v="8600"/>
    <d v="2025-10-12T00:00:00"/>
    <d v="2025-10-27T00:00:00"/>
    <n v="15"/>
    <x v="2"/>
    <s v="Yes"/>
    <x v="4"/>
    <n v="1"/>
    <s v="Delayed"/>
    <x v="2"/>
    <n v="1"/>
    <x v="0"/>
    <n v="0"/>
  </r>
  <r>
    <s v="CUST_0196"/>
    <x v="0"/>
    <x v="0"/>
    <n v="74302"/>
    <n v="4400"/>
    <d v="2025-10-30T00:00:00"/>
    <d v="2025-10-30T00:00:00"/>
    <n v="0"/>
    <x v="2"/>
    <s v="Yes"/>
    <x v="6"/>
    <n v="0"/>
    <s v="On Time"/>
    <x v="1"/>
    <n v="1"/>
    <x v="0"/>
    <n v="1"/>
  </r>
  <r>
    <s v="CUST_0197"/>
    <x v="1"/>
    <x v="1"/>
    <n v="67638"/>
    <n v="9700"/>
    <d v="2025-10-26T00:00:00"/>
    <d v="2025-10-26T00:00:00"/>
    <n v="0"/>
    <x v="0"/>
    <s v="No"/>
    <x v="2"/>
    <n v="0"/>
    <s v="On Time"/>
    <x v="1"/>
    <n v="0"/>
    <x v="0"/>
    <n v="1"/>
  </r>
  <r>
    <s v="CUST_0198"/>
    <x v="1"/>
    <x v="0"/>
    <n v="98249"/>
    <n v="16400"/>
    <d v="2025-10-06T00:00:00"/>
    <d v="2025-10-06T00:00:00"/>
    <n v="0"/>
    <x v="3"/>
    <s v="No"/>
    <x v="6"/>
    <n v="0"/>
    <s v="On Time"/>
    <x v="1"/>
    <n v="0"/>
    <x v="2"/>
    <n v="1"/>
  </r>
  <r>
    <s v="CUST_0199"/>
    <x v="1"/>
    <x v="1"/>
    <n v="22719"/>
    <n v="1000"/>
    <d v="2025-10-21T00:00:00"/>
    <d v="2025-10-21T00:00:00"/>
    <n v="0"/>
    <x v="0"/>
    <s v="No"/>
    <x v="0"/>
    <n v="0"/>
    <s v="On Time"/>
    <x v="1"/>
    <n v="0"/>
    <x v="1"/>
    <n v="1"/>
  </r>
  <r>
    <s v="CUST_0200"/>
    <x v="1"/>
    <x v="1"/>
    <n v="42890"/>
    <n v="2000"/>
    <d v="2025-10-04T00:00:00"/>
    <d v="2025-10-04T00:00:00"/>
    <n v="0"/>
    <x v="3"/>
    <s v="No"/>
    <x v="6"/>
    <n v="0"/>
    <s v="On Time"/>
    <x v="1"/>
    <n v="0"/>
    <x v="1"/>
    <n v="1"/>
  </r>
  <r>
    <s v="CUST_0201"/>
    <x v="0"/>
    <x v="0"/>
    <n v="97236"/>
    <n v="9700"/>
    <d v="2025-10-19T00:00:00"/>
    <d v="2025-10-19T00:00:00"/>
    <n v="0"/>
    <x v="2"/>
    <s v="No"/>
    <x v="0"/>
    <n v="0"/>
    <s v="On Time"/>
    <x v="1"/>
    <n v="0"/>
    <x v="2"/>
    <n v="1"/>
  </r>
  <r>
    <s v="CUST_0202"/>
    <x v="2"/>
    <x v="1"/>
    <n v="56509"/>
    <n v="2800"/>
    <d v="2025-10-16T00:00:00"/>
    <d v="2025-10-16T00:00:00"/>
    <n v="0"/>
    <x v="3"/>
    <s v="No"/>
    <x v="2"/>
    <n v="0"/>
    <s v="On Time"/>
    <x v="1"/>
    <n v="0"/>
    <x v="3"/>
    <n v="1"/>
  </r>
  <r>
    <s v="CUST_0203"/>
    <x v="2"/>
    <x v="1"/>
    <n v="62534"/>
    <n v="7800"/>
    <d v="2025-10-13T00:00:00"/>
    <d v="2025-10-28T00:00:00"/>
    <n v="15"/>
    <x v="1"/>
    <s v="No"/>
    <x v="8"/>
    <n v="1"/>
    <s v="Delayed"/>
    <x v="2"/>
    <n v="0"/>
    <x v="0"/>
    <n v="0"/>
  </r>
  <r>
    <s v="CUST_0204"/>
    <x v="1"/>
    <x v="1"/>
    <n v="38787"/>
    <n v="3200"/>
    <d v="2025-10-04T00:00:00"/>
    <d v="2025-10-04T00:00:00"/>
    <n v="0"/>
    <x v="1"/>
    <s v="No"/>
    <x v="5"/>
    <n v="0"/>
    <s v="On Time"/>
    <x v="1"/>
    <n v="0"/>
    <x v="1"/>
    <n v="1"/>
  </r>
  <r>
    <s v="CUST_0205"/>
    <x v="0"/>
    <x v="1"/>
    <n v="68845"/>
    <n v="4300"/>
    <d v="2025-10-30T00:00:00"/>
    <d v="2025-11-14T00:00:00"/>
    <n v="15"/>
    <x v="1"/>
    <s v="No"/>
    <x v="6"/>
    <n v="1"/>
    <s v="Delayed"/>
    <x v="2"/>
    <n v="0"/>
    <x v="0"/>
    <n v="0"/>
  </r>
  <r>
    <s v="CUST_0206"/>
    <x v="2"/>
    <x v="2"/>
    <n v="77932"/>
    <n v="5200"/>
    <d v="2025-10-23T00:00:00"/>
    <d v="2025-10-23T00:00:00"/>
    <n v="0"/>
    <x v="2"/>
    <s v="No"/>
    <x v="2"/>
    <n v="0"/>
    <s v="On Time"/>
    <x v="1"/>
    <n v="0"/>
    <x v="0"/>
    <n v="1"/>
  </r>
  <r>
    <s v="CUST_0207"/>
    <x v="2"/>
    <x v="1"/>
    <n v="53062"/>
    <n v="3800"/>
    <d v="2025-10-17T00:00:00"/>
    <d v="2025-11-16T00:00:00"/>
    <n v="30"/>
    <x v="2"/>
    <s v="No"/>
    <x v="4"/>
    <n v="1"/>
    <s v="Delayed"/>
    <x v="2"/>
    <n v="0"/>
    <x v="3"/>
    <n v="0"/>
  </r>
  <r>
    <s v="CUST_0208"/>
    <x v="0"/>
    <x v="0"/>
    <n v="95713"/>
    <n v="5000"/>
    <d v="2025-10-23T00:00:00"/>
    <d v="2025-10-26T00:00:00"/>
    <n v="3"/>
    <x v="3"/>
    <s v="Yes"/>
    <x v="6"/>
    <n v="1"/>
    <s v="Delayed"/>
    <x v="0"/>
    <n v="1"/>
    <x v="2"/>
    <n v="0"/>
  </r>
  <r>
    <s v="CUST_0209"/>
    <x v="2"/>
    <x v="1"/>
    <n v="80461"/>
    <n v="4500"/>
    <d v="2025-10-01T00:00:00"/>
    <d v="2025-10-01T00:00:00"/>
    <n v="0"/>
    <x v="3"/>
    <s v="No"/>
    <x v="5"/>
    <n v="0"/>
    <s v="On Time"/>
    <x v="1"/>
    <n v="0"/>
    <x v="2"/>
    <n v="1"/>
  </r>
  <r>
    <s v="CUST_0210"/>
    <x v="2"/>
    <x v="0"/>
    <n v="95418"/>
    <n v="13600"/>
    <d v="2025-10-18T00:00:00"/>
    <d v="2025-10-21T00:00:00"/>
    <n v="3"/>
    <x v="0"/>
    <s v="No"/>
    <x v="8"/>
    <n v="1"/>
    <s v="Delayed"/>
    <x v="0"/>
    <n v="0"/>
    <x v="2"/>
    <n v="0"/>
  </r>
  <r>
    <s v="CUST_0211"/>
    <x v="0"/>
    <x v="0"/>
    <n v="86672"/>
    <n v="10800"/>
    <d v="2025-10-20T00:00:00"/>
    <d v="2025-10-20T00:00:00"/>
    <n v="0"/>
    <x v="2"/>
    <s v="No"/>
    <x v="8"/>
    <n v="0"/>
    <s v="On Time"/>
    <x v="1"/>
    <n v="0"/>
    <x v="2"/>
    <n v="1"/>
  </r>
  <r>
    <s v="CUST_0212"/>
    <x v="0"/>
    <x v="0"/>
    <n v="54832"/>
    <n v="4600"/>
    <d v="2025-10-17T00:00:00"/>
    <d v="2025-10-17T00:00:00"/>
    <n v="0"/>
    <x v="1"/>
    <s v="No"/>
    <x v="4"/>
    <n v="0"/>
    <s v="On Time"/>
    <x v="1"/>
    <n v="0"/>
    <x v="3"/>
    <n v="1"/>
  </r>
  <r>
    <s v="CUST_0213"/>
    <x v="0"/>
    <x v="1"/>
    <n v="51966"/>
    <n v="2300"/>
    <d v="2025-10-27T00:00:00"/>
    <d v="2025-11-26T00:00:00"/>
    <n v="30"/>
    <x v="1"/>
    <s v="No"/>
    <x v="3"/>
    <n v="1"/>
    <s v="Delayed"/>
    <x v="2"/>
    <n v="0"/>
    <x v="3"/>
    <n v="0"/>
  </r>
  <r>
    <s v="CUST_0214"/>
    <x v="0"/>
    <x v="1"/>
    <n v="92545"/>
    <n v="11600"/>
    <d v="2025-10-28T00:00:00"/>
    <d v="2025-10-28T00:00:00"/>
    <n v="0"/>
    <x v="2"/>
    <s v="No"/>
    <x v="4"/>
    <n v="0"/>
    <s v="On Time"/>
    <x v="1"/>
    <n v="0"/>
    <x v="2"/>
    <n v="1"/>
  </r>
  <r>
    <s v="CUST_0215"/>
    <x v="1"/>
    <x v="1"/>
    <n v="32987"/>
    <n v="2200"/>
    <d v="2025-10-27T00:00:00"/>
    <d v="2025-10-27T00:00:00"/>
    <n v="0"/>
    <x v="1"/>
    <s v="No"/>
    <x v="6"/>
    <n v="0"/>
    <s v="On Time"/>
    <x v="1"/>
    <n v="0"/>
    <x v="1"/>
    <n v="1"/>
  </r>
  <r>
    <s v="CUST_0216"/>
    <x v="0"/>
    <x v="2"/>
    <n v="57311"/>
    <n v="4800"/>
    <d v="2025-10-15T00:00:00"/>
    <d v="2025-10-22T00:00:00"/>
    <n v="7"/>
    <x v="3"/>
    <s v="No"/>
    <x v="3"/>
    <n v="1"/>
    <s v="Delayed"/>
    <x v="0"/>
    <n v="0"/>
    <x v="3"/>
    <n v="0"/>
  </r>
  <r>
    <s v="CUST_0217"/>
    <x v="0"/>
    <x v="0"/>
    <n v="51575"/>
    <n v="3700"/>
    <d v="2025-10-11T00:00:00"/>
    <d v="2025-11-10T00:00:00"/>
    <n v="30"/>
    <x v="3"/>
    <s v="No"/>
    <x v="9"/>
    <n v="1"/>
    <s v="Delayed"/>
    <x v="2"/>
    <n v="0"/>
    <x v="3"/>
    <n v="0"/>
  </r>
  <r>
    <s v="CUST_0218"/>
    <x v="1"/>
    <x v="2"/>
    <n v="83852"/>
    <n v="3800"/>
    <d v="2025-10-25T00:00:00"/>
    <d v="2025-10-28T00:00:00"/>
    <n v="3"/>
    <x v="3"/>
    <s v="No"/>
    <x v="8"/>
    <n v="1"/>
    <s v="Delayed"/>
    <x v="0"/>
    <n v="0"/>
    <x v="2"/>
    <n v="0"/>
  </r>
  <r>
    <s v="CUST_0219"/>
    <x v="0"/>
    <x v="1"/>
    <n v="21007"/>
    <n v="1300"/>
    <d v="2025-10-28T00:00:00"/>
    <d v="2025-10-28T00:00:00"/>
    <n v="0"/>
    <x v="2"/>
    <s v="No"/>
    <x v="5"/>
    <n v="0"/>
    <s v="On Time"/>
    <x v="1"/>
    <n v="0"/>
    <x v="1"/>
    <n v="1"/>
  </r>
  <r>
    <s v="CUST_0220"/>
    <x v="1"/>
    <x v="0"/>
    <n v="90981"/>
    <n v="7600"/>
    <d v="2025-10-22T00:00:00"/>
    <d v="2025-10-25T00:00:00"/>
    <n v="3"/>
    <x v="2"/>
    <s v="Yes"/>
    <x v="8"/>
    <n v="1"/>
    <s v="Delayed"/>
    <x v="0"/>
    <n v="1"/>
    <x v="2"/>
    <n v="0"/>
  </r>
  <r>
    <s v="CUST_0221"/>
    <x v="0"/>
    <x v="2"/>
    <n v="96242"/>
    <n v="5100"/>
    <d v="2025-10-13T00:00:00"/>
    <d v="2025-10-13T00:00:00"/>
    <n v="0"/>
    <x v="2"/>
    <s v="No"/>
    <x v="8"/>
    <n v="0"/>
    <s v="On Time"/>
    <x v="1"/>
    <n v="0"/>
    <x v="2"/>
    <n v="1"/>
  </r>
  <r>
    <s v="CUST_0222"/>
    <x v="0"/>
    <x v="1"/>
    <n v="67517"/>
    <n v="7500"/>
    <d v="2025-10-01T00:00:00"/>
    <d v="2025-10-08T00:00:00"/>
    <n v="7"/>
    <x v="2"/>
    <s v="Yes"/>
    <x v="1"/>
    <n v="1"/>
    <s v="Delayed"/>
    <x v="0"/>
    <n v="1"/>
    <x v="0"/>
    <n v="0"/>
  </r>
  <r>
    <s v="CUST_0223"/>
    <x v="2"/>
    <x v="1"/>
    <n v="49257"/>
    <n v="4500"/>
    <d v="2025-10-17T00:00:00"/>
    <d v="2025-12-01T00:00:00"/>
    <n v="45"/>
    <x v="2"/>
    <s v="No"/>
    <x v="2"/>
    <n v="1"/>
    <s v="Delayed"/>
    <x v="2"/>
    <n v="0"/>
    <x v="3"/>
    <n v="0"/>
  </r>
  <r>
    <s v="CUST_0224"/>
    <x v="0"/>
    <x v="0"/>
    <n v="62207"/>
    <n v="4100"/>
    <d v="2025-10-06T00:00:00"/>
    <d v="2025-10-13T00:00:00"/>
    <n v="7"/>
    <x v="1"/>
    <s v="No"/>
    <x v="2"/>
    <n v="1"/>
    <s v="Delayed"/>
    <x v="0"/>
    <n v="0"/>
    <x v="0"/>
    <n v="0"/>
  </r>
  <r>
    <s v="CUST_0225"/>
    <x v="0"/>
    <x v="0"/>
    <n v="33281"/>
    <n v="2800"/>
    <d v="2025-10-04T00:00:00"/>
    <d v="2025-10-19T00:00:00"/>
    <n v="15"/>
    <x v="1"/>
    <s v="No"/>
    <x v="8"/>
    <n v="1"/>
    <s v="Delayed"/>
    <x v="2"/>
    <n v="0"/>
    <x v="1"/>
    <n v="0"/>
  </r>
  <r>
    <s v="CUST_0226"/>
    <x v="0"/>
    <x v="0"/>
    <n v="81246"/>
    <n v="4500"/>
    <d v="2025-10-20T00:00:00"/>
    <d v="2025-10-20T00:00:00"/>
    <n v="0"/>
    <x v="3"/>
    <s v="Yes"/>
    <x v="7"/>
    <n v="0"/>
    <s v="On Time"/>
    <x v="1"/>
    <n v="1"/>
    <x v="2"/>
    <n v="1"/>
  </r>
  <r>
    <s v="CUST_0227"/>
    <x v="1"/>
    <x v="1"/>
    <n v="21435"/>
    <n v="1100"/>
    <d v="2025-10-16T00:00:00"/>
    <d v="2025-10-23T00:00:00"/>
    <n v="7"/>
    <x v="3"/>
    <s v="No"/>
    <x v="0"/>
    <n v="1"/>
    <s v="Delayed"/>
    <x v="0"/>
    <n v="0"/>
    <x v="1"/>
    <n v="0"/>
  </r>
  <r>
    <s v="CUST_0228"/>
    <x v="0"/>
    <x v="0"/>
    <n v="46660"/>
    <n v="5200"/>
    <d v="2025-10-15T00:00:00"/>
    <d v="2025-10-30T00:00:00"/>
    <n v="15"/>
    <x v="1"/>
    <s v="No"/>
    <x v="4"/>
    <n v="1"/>
    <s v="Delayed"/>
    <x v="2"/>
    <n v="0"/>
    <x v="3"/>
    <n v="0"/>
  </r>
  <r>
    <s v="CUST_0229"/>
    <x v="1"/>
    <x v="1"/>
    <n v="25084"/>
    <n v="1900"/>
    <d v="2025-10-27T00:00:00"/>
    <d v="2025-10-27T00:00:00"/>
    <n v="0"/>
    <x v="2"/>
    <s v="Yes"/>
    <x v="9"/>
    <n v="0"/>
    <s v="On Time"/>
    <x v="1"/>
    <n v="1"/>
    <x v="1"/>
    <n v="1"/>
  </r>
  <r>
    <s v="CUST_0230"/>
    <x v="0"/>
    <x v="1"/>
    <n v="33507"/>
    <n v="3400"/>
    <d v="2025-10-15T00:00:00"/>
    <d v="2025-11-14T00:00:00"/>
    <n v="30"/>
    <x v="1"/>
    <s v="No"/>
    <x v="3"/>
    <n v="1"/>
    <s v="Delayed"/>
    <x v="2"/>
    <n v="0"/>
    <x v="1"/>
    <n v="0"/>
  </r>
  <r>
    <s v="CUST_0231"/>
    <x v="1"/>
    <x v="1"/>
    <n v="92595"/>
    <n v="15400"/>
    <d v="2025-10-06T00:00:00"/>
    <d v="2025-10-06T00:00:00"/>
    <n v="0"/>
    <x v="3"/>
    <s v="Yes"/>
    <x v="7"/>
    <n v="0"/>
    <s v="On Time"/>
    <x v="1"/>
    <n v="1"/>
    <x v="2"/>
    <n v="1"/>
  </r>
  <r>
    <s v="CUST_0232"/>
    <x v="0"/>
    <x v="0"/>
    <n v="65539"/>
    <n v="7300"/>
    <d v="2025-10-15T00:00:00"/>
    <d v="2025-10-18T00:00:00"/>
    <n v="3"/>
    <x v="2"/>
    <s v="No"/>
    <x v="4"/>
    <n v="1"/>
    <s v="Delayed"/>
    <x v="0"/>
    <n v="0"/>
    <x v="0"/>
    <n v="0"/>
  </r>
  <r>
    <s v="CUST_0233"/>
    <x v="0"/>
    <x v="0"/>
    <n v="27491"/>
    <n v="3400"/>
    <d v="2025-10-14T00:00:00"/>
    <d v="2025-10-29T00:00:00"/>
    <n v="15"/>
    <x v="3"/>
    <s v="No"/>
    <x v="1"/>
    <n v="1"/>
    <s v="Delayed"/>
    <x v="2"/>
    <n v="0"/>
    <x v="1"/>
    <n v="0"/>
  </r>
  <r>
    <s v="CUST_0234"/>
    <x v="0"/>
    <x v="0"/>
    <n v="70192"/>
    <n v="5000"/>
    <d v="2025-10-28T00:00:00"/>
    <d v="2025-10-31T00:00:00"/>
    <n v="3"/>
    <x v="3"/>
    <s v="No"/>
    <x v="0"/>
    <n v="1"/>
    <s v="Delayed"/>
    <x v="0"/>
    <n v="0"/>
    <x v="0"/>
    <n v="0"/>
  </r>
  <r>
    <s v="CUST_0235"/>
    <x v="2"/>
    <x v="1"/>
    <n v="83888"/>
    <n v="6500"/>
    <d v="2025-10-11T00:00:00"/>
    <d v="2025-10-11T00:00:00"/>
    <n v="0"/>
    <x v="1"/>
    <s v="No"/>
    <x v="6"/>
    <n v="0"/>
    <s v="On Time"/>
    <x v="1"/>
    <n v="0"/>
    <x v="2"/>
    <n v="1"/>
  </r>
  <r>
    <s v="CUST_0236"/>
    <x v="1"/>
    <x v="0"/>
    <n v="93609"/>
    <n v="15600"/>
    <d v="2025-10-07T00:00:00"/>
    <d v="2025-10-10T00:00:00"/>
    <n v="3"/>
    <x v="2"/>
    <s v="No"/>
    <x v="1"/>
    <n v="1"/>
    <s v="Delayed"/>
    <x v="0"/>
    <n v="0"/>
    <x v="2"/>
    <n v="0"/>
  </r>
  <r>
    <s v="CUST_0237"/>
    <x v="0"/>
    <x v="1"/>
    <n v="29077"/>
    <n v="2600"/>
    <d v="2025-10-09T00:00:00"/>
    <d v="2025-10-09T00:00:00"/>
    <n v="0"/>
    <x v="1"/>
    <s v="No"/>
    <x v="5"/>
    <n v="0"/>
    <s v="On Time"/>
    <x v="1"/>
    <n v="0"/>
    <x v="1"/>
    <n v="1"/>
  </r>
  <r>
    <s v="CUST_0238"/>
    <x v="2"/>
    <x v="0"/>
    <n v="40953"/>
    <n v="2900"/>
    <d v="2025-10-26T00:00:00"/>
    <d v="2025-11-25T00:00:00"/>
    <n v="30"/>
    <x v="0"/>
    <s v="Yes"/>
    <x v="7"/>
    <n v="1"/>
    <s v="Delayed"/>
    <x v="2"/>
    <n v="1"/>
    <x v="1"/>
    <n v="0"/>
  </r>
  <r>
    <s v="CUST_0239"/>
    <x v="0"/>
    <x v="1"/>
    <n v="96919"/>
    <n v="8100"/>
    <d v="2025-10-16T00:00:00"/>
    <d v="2025-10-16T00:00:00"/>
    <n v="0"/>
    <x v="2"/>
    <s v="Yes"/>
    <x v="8"/>
    <n v="0"/>
    <s v="On Time"/>
    <x v="1"/>
    <n v="1"/>
    <x v="2"/>
    <n v="1"/>
  </r>
  <r>
    <s v="CUST_0240"/>
    <x v="2"/>
    <x v="1"/>
    <n v="87889"/>
    <n v="9800"/>
    <d v="2025-10-05T00:00:00"/>
    <d v="2025-10-05T00:00:00"/>
    <n v="0"/>
    <x v="1"/>
    <s v="Yes"/>
    <x v="2"/>
    <n v="0"/>
    <s v="On Time"/>
    <x v="1"/>
    <n v="1"/>
    <x v="2"/>
    <n v="1"/>
  </r>
  <r>
    <s v="CUST_0241"/>
    <x v="1"/>
    <x v="1"/>
    <n v="43821"/>
    <n v="2400"/>
    <d v="2025-10-25T00:00:00"/>
    <d v="2025-11-01T00:00:00"/>
    <n v="7"/>
    <x v="3"/>
    <s v="No"/>
    <x v="6"/>
    <n v="1"/>
    <s v="Delayed"/>
    <x v="0"/>
    <n v="0"/>
    <x v="3"/>
    <n v="0"/>
  </r>
  <r>
    <s v="CUST_0242"/>
    <x v="1"/>
    <x v="1"/>
    <n v="57567"/>
    <n v="2600"/>
    <d v="2025-10-20T00:00:00"/>
    <d v="2025-10-20T00:00:00"/>
    <n v="0"/>
    <x v="2"/>
    <s v="No"/>
    <x v="0"/>
    <n v="0"/>
    <s v="On Time"/>
    <x v="1"/>
    <n v="0"/>
    <x v="3"/>
    <n v="1"/>
  </r>
  <r>
    <s v="CUST_0243"/>
    <x v="1"/>
    <x v="0"/>
    <n v="44860"/>
    <n v="6400"/>
    <d v="2025-10-29T00:00:00"/>
    <d v="2025-11-01T00:00:00"/>
    <n v="3"/>
    <x v="1"/>
    <s v="No"/>
    <x v="3"/>
    <n v="1"/>
    <s v="Delayed"/>
    <x v="0"/>
    <n v="0"/>
    <x v="3"/>
    <n v="0"/>
  </r>
  <r>
    <s v="CUST_0244"/>
    <x v="0"/>
    <x v="0"/>
    <n v="41195"/>
    <n v="4100"/>
    <d v="2025-10-10T00:00:00"/>
    <d v="2025-10-13T00:00:00"/>
    <n v="3"/>
    <x v="2"/>
    <s v="No"/>
    <x v="1"/>
    <n v="1"/>
    <s v="Delayed"/>
    <x v="0"/>
    <n v="0"/>
    <x v="1"/>
    <n v="0"/>
  </r>
  <r>
    <s v="CUST_0245"/>
    <x v="2"/>
    <x v="1"/>
    <n v="97475"/>
    <n v="5700"/>
    <d v="2025-10-18T00:00:00"/>
    <d v="2025-11-17T00:00:00"/>
    <n v="30"/>
    <x v="2"/>
    <s v="No"/>
    <x v="9"/>
    <n v="1"/>
    <s v="Delayed"/>
    <x v="2"/>
    <n v="0"/>
    <x v="2"/>
    <n v="0"/>
  </r>
  <r>
    <s v="CUST_0246"/>
    <x v="1"/>
    <x v="0"/>
    <n v="41427"/>
    <n v="3200"/>
    <d v="2025-10-03T00:00:00"/>
    <d v="2025-10-06T00:00:00"/>
    <n v="3"/>
    <x v="3"/>
    <s v="No"/>
    <x v="0"/>
    <n v="1"/>
    <s v="Delayed"/>
    <x v="0"/>
    <n v="0"/>
    <x v="1"/>
    <n v="0"/>
  </r>
  <r>
    <s v="CUST_0247"/>
    <x v="0"/>
    <x v="1"/>
    <n v="47083"/>
    <n v="4300"/>
    <d v="2025-10-13T00:00:00"/>
    <d v="2025-10-13T00:00:00"/>
    <n v="0"/>
    <x v="2"/>
    <s v="No"/>
    <x v="7"/>
    <n v="0"/>
    <s v="On Time"/>
    <x v="1"/>
    <n v="0"/>
    <x v="3"/>
    <n v="1"/>
  </r>
  <r>
    <s v="CUST_0248"/>
    <x v="1"/>
    <x v="0"/>
    <n v="77372"/>
    <n v="6000"/>
    <d v="2025-10-11T00:00:00"/>
    <d v="2025-10-11T00:00:00"/>
    <n v="0"/>
    <x v="0"/>
    <s v="No"/>
    <x v="3"/>
    <n v="0"/>
    <s v="On Time"/>
    <x v="1"/>
    <n v="0"/>
    <x v="0"/>
    <n v="1"/>
  </r>
  <r>
    <s v="CUST_0249"/>
    <x v="1"/>
    <x v="2"/>
    <n v="64064"/>
    <n v="2800"/>
    <d v="2025-10-17T00:00:00"/>
    <d v="2025-10-17T00:00:00"/>
    <n v="0"/>
    <x v="0"/>
    <s v="No"/>
    <x v="7"/>
    <n v="0"/>
    <s v="On Time"/>
    <x v="1"/>
    <n v="0"/>
    <x v="0"/>
    <n v="1"/>
  </r>
  <r>
    <s v="CUST_0250"/>
    <x v="1"/>
    <x v="0"/>
    <n v="27813"/>
    <n v="3500"/>
    <d v="2025-10-30T00:00:00"/>
    <d v="2025-10-30T00:00:00"/>
    <n v="0"/>
    <x v="1"/>
    <s v="No"/>
    <x v="0"/>
    <n v="0"/>
    <s v="On Time"/>
    <x v="1"/>
    <n v="0"/>
    <x v="1"/>
    <n v="1"/>
  </r>
  <r>
    <s v="CUST_0251"/>
    <x v="0"/>
    <x v="1"/>
    <n v="51598"/>
    <n v="3000"/>
    <d v="2025-10-30T00:00:00"/>
    <d v="2025-10-30T00:00:00"/>
    <n v="0"/>
    <x v="1"/>
    <s v="No"/>
    <x v="7"/>
    <n v="0"/>
    <s v="On Time"/>
    <x v="1"/>
    <n v="0"/>
    <x v="3"/>
    <n v="1"/>
  </r>
  <r>
    <s v="CUST_0252"/>
    <x v="0"/>
    <x v="2"/>
    <n v="47082"/>
    <n v="5900"/>
    <d v="2025-10-22T00:00:00"/>
    <d v="2025-10-25T00:00:00"/>
    <n v="3"/>
    <x v="2"/>
    <s v="Yes"/>
    <x v="6"/>
    <n v="1"/>
    <s v="Delayed"/>
    <x v="0"/>
    <n v="1"/>
    <x v="3"/>
    <n v="0"/>
  </r>
  <r>
    <s v="CUST_0253"/>
    <x v="1"/>
    <x v="0"/>
    <n v="49241"/>
    <n v="4500"/>
    <d v="2025-10-13T00:00:00"/>
    <d v="2025-10-20T00:00:00"/>
    <n v="7"/>
    <x v="2"/>
    <s v="No"/>
    <x v="8"/>
    <n v="1"/>
    <s v="Delayed"/>
    <x v="0"/>
    <n v="0"/>
    <x v="3"/>
    <n v="0"/>
  </r>
  <r>
    <s v="CUST_0254"/>
    <x v="0"/>
    <x v="1"/>
    <n v="64569"/>
    <n v="9200"/>
    <d v="2025-10-06T00:00:00"/>
    <d v="2025-10-06T00:00:00"/>
    <n v="0"/>
    <x v="3"/>
    <s v="No"/>
    <x v="2"/>
    <n v="0"/>
    <s v="On Time"/>
    <x v="1"/>
    <n v="0"/>
    <x v="0"/>
    <n v="1"/>
  </r>
  <r>
    <s v="CUST_0255"/>
    <x v="2"/>
    <x v="1"/>
    <n v="31745"/>
    <n v="1900"/>
    <d v="2025-10-17T00:00:00"/>
    <d v="2025-11-01T00:00:00"/>
    <n v="15"/>
    <x v="2"/>
    <s v="Yes"/>
    <x v="3"/>
    <n v="1"/>
    <s v="Delayed"/>
    <x v="2"/>
    <n v="1"/>
    <x v="1"/>
    <n v="0"/>
  </r>
  <r>
    <s v="CUST_0256"/>
    <x v="0"/>
    <x v="0"/>
    <n v="46029"/>
    <n v="6600"/>
    <d v="2025-10-27T00:00:00"/>
    <d v="2025-12-26T00:00:00"/>
    <n v="60"/>
    <x v="2"/>
    <s v="No"/>
    <x v="7"/>
    <n v="1"/>
    <s v="Delayed"/>
    <x v="2"/>
    <n v="0"/>
    <x v="3"/>
    <n v="0"/>
  </r>
  <r>
    <s v="CUST_0257"/>
    <x v="1"/>
    <x v="0"/>
    <n v="33025"/>
    <n v="3000"/>
    <d v="2025-10-13T00:00:00"/>
    <d v="2025-10-28T00:00:00"/>
    <n v="15"/>
    <x v="0"/>
    <s v="Yes"/>
    <x v="3"/>
    <n v="1"/>
    <s v="Delayed"/>
    <x v="2"/>
    <n v="1"/>
    <x v="1"/>
    <n v="0"/>
  </r>
  <r>
    <s v="CUST_0258"/>
    <x v="0"/>
    <x v="0"/>
    <n v="34288"/>
    <n v="1600"/>
    <d v="2025-10-19T00:00:00"/>
    <d v="2025-10-22T00:00:00"/>
    <n v="3"/>
    <x v="2"/>
    <s v="No"/>
    <x v="5"/>
    <n v="1"/>
    <s v="Delayed"/>
    <x v="0"/>
    <n v="0"/>
    <x v="1"/>
    <n v="0"/>
  </r>
  <r>
    <s v="CUST_0259"/>
    <x v="0"/>
    <x v="0"/>
    <n v="26540"/>
    <n v="3300"/>
    <d v="2025-10-21T00:00:00"/>
    <d v="2025-10-21T00:00:00"/>
    <n v="0"/>
    <x v="2"/>
    <s v="Yes"/>
    <x v="9"/>
    <n v="0"/>
    <s v="On Time"/>
    <x v="1"/>
    <n v="1"/>
    <x v="1"/>
    <n v="1"/>
  </r>
  <r>
    <s v="CUST_0260"/>
    <x v="2"/>
    <x v="0"/>
    <n v="88878"/>
    <n v="12700"/>
    <d v="2025-10-19T00:00:00"/>
    <d v="2025-10-19T00:00:00"/>
    <n v="0"/>
    <x v="2"/>
    <s v="No"/>
    <x v="0"/>
    <n v="0"/>
    <s v="On Time"/>
    <x v="1"/>
    <n v="0"/>
    <x v="2"/>
    <n v="1"/>
  </r>
  <r>
    <s v="CUST_0261"/>
    <x v="0"/>
    <x v="1"/>
    <n v="61846"/>
    <n v="4800"/>
    <d v="2025-10-10T00:00:00"/>
    <d v="2025-10-10T00:00:00"/>
    <n v="0"/>
    <x v="1"/>
    <s v="No"/>
    <x v="6"/>
    <n v="0"/>
    <s v="On Time"/>
    <x v="1"/>
    <n v="0"/>
    <x v="0"/>
    <n v="1"/>
  </r>
  <r>
    <s v="CUST_0262"/>
    <x v="1"/>
    <x v="1"/>
    <n v="95932"/>
    <n v="5600"/>
    <d v="2025-10-03T00:00:00"/>
    <d v="2025-10-03T00:00:00"/>
    <n v="0"/>
    <x v="1"/>
    <s v="No"/>
    <x v="0"/>
    <n v="0"/>
    <s v="On Time"/>
    <x v="1"/>
    <n v="0"/>
    <x v="2"/>
    <n v="1"/>
  </r>
  <r>
    <s v="CUST_0263"/>
    <x v="2"/>
    <x v="1"/>
    <n v="37482"/>
    <n v="4200"/>
    <d v="2025-10-14T00:00:00"/>
    <d v="2025-11-13T00:00:00"/>
    <n v="30"/>
    <x v="3"/>
    <s v="No"/>
    <x v="6"/>
    <n v="1"/>
    <s v="Delayed"/>
    <x v="2"/>
    <n v="0"/>
    <x v="1"/>
    <n v="0"/>
  </r>
  <r>
    <s v="CUST_0264"/>
    <x v="0"/>
    <x v="0"/>
    <n v="43411"/>
    <n v="4300"/>
    <d v="2025-10-26T00:00:00"/>
    <d v="2025-11-10T00:00:00"/>
    <n v="15"/>
    <x v="2"/>
    <s v="No"/>
    <x v="4"/>
    <n v="1"/>
    <s v="Delayed"/>
    <x v="2"/>
    <n v="0"/>
    <x v="3"/>
    <n v="0"/>
  </r>
  <r>
    <s v="CUST_0265"/>
    <x v="1"/>
    <x v="1"/>
    <n v="70975"/>
    <n v="3900"/>
    <d v="2025-10-19T00:00:00"/>
    <d v="2025-10-19T00:00:00"/>
    <n v="0"/>
    <x v="1"/>
    <s v="No"/>
    <x v="4"/>
    <n v="0"/>
    <s v="On Time"/>
    <x v="1"/>
    <n v="0"/>
    <x v="0"/>
    <n v="1"/>
  </r>
  <r>
    <s v="CUST_0266"/>
    <x v="1"/>
    <x v="0"/>
    <n v="80545"/>
    <n v="4000"/>
    <d v="2025-10-05T00:00:00"/>
    <d v="2025-10-05T00:00:00"/>
    <n v="0"/>
    <x v="2"/>
    <s v="Yes"/>
    <x v="6"/>
    <n v="0"/>
    <s v="On Time"/>
    <x v="1"/>
    <n v="1"/>
    <x v="2"/>
    <n v="1"/>
  </r>
  <r>
    <s v="CUST_0267"/>
    <x v="0"/>
    <x v="0"/>
    <n v="98797"/>
    <n v="4700"/>
    <d v="2025-10-29T00:00:00"/>
    <d v="2025-11-13T00:00:00"/>
    <n v="15"/>
    <x v="3"/>
    <s v="No"/>
    <x v="7"/>
    <n v="1"/>
    <s v="Delayed"/>
    <x v="2"/>
    <n v="0"/>
    <x v="2"/>
    <n v="0"/>
  </r>
  <r>
    <s v="CUST_0268"/>
    <x v="1"/>
    <x v="0"/>
    <n v="72307"/>
    <n v="4800"/>
    <d v="2025-10-05T00:00:00"/>
    <d v="2025-10-05T00:00:00"/>
    <n v="0"/>
    <x v="1"/>
    <s v="No"/>
    <x v="8"/>
    <n v="0"/>
    <s v="On Time"/>
    <x v="1"/>
    <n v="0"/>
    <x v="0"/>
    <n v="1"/>
  </r>
  <r>
    <s v="CUST_0269"/>
    <x v="0"/>
    <x v="1"/>
    <n v="23093"/>
    <n v="1100"/>
    <d v="2025-10-20T00:00:00"/>
    <d v="2025-10-20T00:00:00"/>
    <n v="0"/>
    <x v="1"/>
    <s v="No"/>
    <x v="8"/>
    <n v="0"/>
    <s v="On Time"/>
    <x v="1"/>
    <n v="0"/>
    <x v="1"/>
    <n v="1"/>
  </r>
  <r>
    <s v="CUST_0270"/>
    <x v="0"/>
    <x v="0"/>
    <n v="97258"/>
    <n v="5700"/>
    <d v="2025-10-17T00:00:00"/>
    <d v="2025-11-01T00:00:00"/>
    <n v="15"/>
    <x v="3"/>
    <s v="No"/>
    <x v="0"/>
    <n v="1"/>
    <s v="Delayed"/>
    <x v="2"/>
    <n v="0"/>
    <x v="2"/>
    <n v="0"/>
  </r>
  <r>
    <s v="CUST_0271"/>
    <x v="1"/>
    <x v="1"/>
    <n v="42042"/>
    <n v="1900"/>
    <d v="2025-10-21T00:00:00"/>
    <d v="2025-10-21T00:00:00"/>
    <n v="0"/>
    <x v="1"/>
    <s v="No"/>
    <x v="6"/>
    <n v="0"/>
    <s v="On Time"/>
    <x v="1"/>
    <n v="0"/>
    <x v="1"/>
    <n v="1"/>
  </r>
  <r>
    <s v="CUST_0272"/>
    <x v="1"/>
    <x v="0"/>
    <n v="72930"/>
    <n v="3500"/>
    <d v="2025-10-10T00:00:00"/>
    <d v="2025-10-10T00:00:00"/>
    <n v="0"/>
    <x v="1"/>
    <s v="No"/>
    <x v="3"/>
    <n v="0"/>
    <s v="On Time"/>
    <x v="1"/>
    <n v="0"/>
    <x v="0"/>
    <n v="1"/>
  </r>
  <r>
    <s v="CUST_0273"/>
    <x v="1"/>
    <x v="1"/>
    <n v="64413"/>
    <n v="3800"/>
    <d v="2025-10-05T00:00:00"/>
    <d v="2025-10-05T00:00:00"/>
    <n v="0"/>
    <x v="2"/>
    <s v="No"/>
    <x v="8"/>
    <n v="0"/>
    <s v="On Time"/>
    <x v="1"/>
    <n v="0"/>
    <x v="0"/>
    <n v="1"/>
  </r>
  <r>
    <s v="CUST_0274"/>
    <x v="1"/>
    <x v="1"/>
    <n v="53756"/>
    <n v="4100"/>
    <d v="2025-10-04T00:00:00"/>
    <d v="2025-10-19T00:00:00"/>
    <n v="15"/>
    <x v="0"/>
    <s v="No"/>
    <x v="6"/>
    <n v="1"/>
    <s v="Delayed"/>
    <x v="2"/>
    <n v="0"/>
    <x v="3"/>
    <n v="0"/>
  </r>
  <r>
    <s v="CUST_0275"/>
    <x v="0"/>
    <x v="0"/>
    <n v="73268"/>
    <n v="9200"/>
    <d v="2025-10-06T00:00:00"/>
    <d v="2025-10-09T00:00:00"/>
    <n v="3"/>
    <x v="1"/>
    <s v="Yes"/>
    <x v="2"/>
    <n v="1"/>
    <s v="Delayed"/>
    <x v="0"/>
    <n v="1"/>
    <x v="0"/>
    <n v="0"/>
  </r>
  <r>
    <s v="CUST_0276"/>
    <x v="0"/>
    <x v="1"/>
    <n v="59214"/>
    <n v="2800"/>
    <d v="2025-10-26T00:00:00"/>
    <d v="2025-10-26T00:00:00"/>
    <n v="0"/>
    <x v="1"/>
    <s v="No"/>
    <x v="5"/>
    <n v="0"/>
    <s v="On Time"/>
    <x v="1"/>
    <n v="0"/>
    <x v="3"/>
    <n v="1"/>
  </r>
  <r>
    <s v="CUST_0277"/>
    <x v="1"/>
    <x v="1"/>
    <n v="48602"/>
    <n v="2700"/>
    <d v="2025-10-04T00:00:00"/>
    <d v="2025-10-04T00:00:00"/>
    <n v="0"/>
    <x v="1"/>
    <s v="No"/>
    <x v="4"/>
    <n v="0"/>
    <s v="On Time"/>
    <x v="1"/>
    <n v="0"/>
    <x v="3"/>
    <n v="1"/>
  </r>
  <r>
    <s v="CUST_0278"/>
    <x v="0"/>
    <x v="0"/>
    <n v="73331"/>
    <n v="5600"/>
    <d v="2025-10-30T00:00:00"/>
    <d v="2025-10-30T00:00:00"/>
    <n v="0"/>
    <x v="3"/>
    <s v="No"/>
    <x v="2"/>
    <n v="0"/>
    <s v="On Time"/>
    <x v="1"/>
    <n v="0"/>
    <x v="0"/>
    <n v="1"/>
  </r>
  <r>
    <s v="CUST_0279"/>
    <x v="1"/>
    <x v="0"/>
    <n v="68901"/>
    <n v="6900"/>
    <d v="2025-10-07T00:00:00"/>
    <d v="2025-10-10T00:00:00"/>
    <n v="3"/>
    <x v="3"/>
    <s v="Yes"/>
    <x v="7"/>
    <n v="1"/>
    <s v="Delayed"/>
    <x v="0"/>
    <n v="1"/>
    <x v="0"/>
    <n v="0"/>
  </r>
  <r>
    <s v="CUST_0280"/>
    <x v="1"/>
    <x v="0"/>
    <n v="83416"/>
    <n v="6400"/>
    <d v="2025-10-07T00:00:00"/>
    <d v="2025-10-14T00:00:00"/>
    <n v="7"/>
    <x v="2"/>
    <s v="No"/>
    <x v="1"/>
    <n v="1"/>
    <s v="Delayed"/>
    <x v="0"/>
    <n v="0"/>
    <x v="2"/>
    <n v="0"/>
  </r>
  <r>
    <s v="CUST_0281"/>
    <x v="1"/>
    <x v="0"/>
    <n v="52196"/>
    <n v="3100"/>
    <d v="2025-10-18T00:00:00"/>
    <d v="2025-10-18T00:00:00"/>
    <n v="0"/>
    <x v="3"/>
    <s v="No"/>
    <x v="0"/>
    <n v="0"/>
    <s v="On Time"/>
    <x v="1"/>
    <n v="0"/>
    <x v="3"/>
    <n v="1"/>
  </r>
  <r>
    <s v="CUST_0282"/>
    <x v="0"/>
    <x v="0"/>
    <n v="25626"/>
    <n v="4300"/>
    <d v="2025-10-03T00:00:00"/>
    <d v="2025-11-02T00:00:00"/>
    <n v="30"/>
    <x v="2"/>
    <s v="No"/>
    <x v="9"/>
    <n v="1"/>
    <s v="Delayed"/>
    <x v="2"/>
    <n v="0"/>
    <x v="1"/>
    <n v="0"/>
  </r>
  <r>
    <s v="CUST_0283"/>
    <x v="0"/>
    <x v="1"/>
    <n v="27424"/>
    <n v="2500"/>
    <d v="2025-10-01T00:00:00"/>
    <d v="2025-10-01T00:00:00"/>
    <n v="0"/>
    <x v="0"/>
    <s v="No"/>
    <x v="7"/>
    <n v="0"/>
    <s v="On Time"/>
    <x v="1"/>
    <n v="0"/>
    <x v="1"/>
    <n v="1"/>
  </r>
  <r>
    <s v="CUST_0284"/>
    <x v="2"/>
    <x v="1"/>
    <n v="32857"/>
    <n v="1400"/>
    <d v="2025-10-24T00:00:00"/>
    <d v="2025-10-24T00:00:00"/>
    <n v="0"/>
    <x v="1"/>
    <s v="No"/>
    <x v="6"/>
    <n v="0"/>
    <s v="On Time"/>
    <x v="1"/>
    <n v="0"/>
    <x v="1"/>
    <n v="1"/>
  </r>
  <r>
    <s v="CUST_0285"/>
    <x v="0"/>
    <x v="1"/>
    <n v="39982"/>
    <n v="3100"/>
    <d v="2025-10-25T00:00:00"/>
    <d v="2025-10-25T00:00:00"/>
    <n v="0"/>
    <x v="1"/>
    <s v="Yes"/>
    <x v="5"/>
    <n v="0"/>
    <s v="On Time"/>
    <x v="1"/>
    <n v="1"/>
    <x v="1"/>
    <n v="1"/>
  </r>
  <r>
    <s v="CUST_0286"/>
    <x v="2"/>
    <x v="2"/>
    <n v="96961"/>
    <n v="8100"/>
    <d v="2025-10-04T00:00:00"/>
    <d v="2025-10-04T00:00:00"/>
    <n v="0"/>
    <x v="0"/>
    <s v="No"/>
    <x v="0"/>
    <n v="0"/>
    <s v="On Time"/>
    <x v="1"/>
    <n v="0"/>
    <x v="2"/>
    <n v="1"/>
  </r>
  <r>
    <s v="CUST_0287"/>
    <x v="0"/>
    <x v="0"/>
    <n v="21980"/>
    <n v="3700"/>
    <d v="2025-10-06T00:00:00"/>
    <d v="2025-10-06T00:00:00"/>
    <n v="0"/>
    <x v="1"/>
    <s v="Yes"/>
    <x v="1"/>
    <n v="0"/>
    <s v="On Time"/>
    <x v="1"/>
    <n v="1"/>
    <x v="1"/>
    <n v="1"/>
  </r>
  <r>
    <s v="CUST_0288"/>
    <x v="0"/>
    <x v="1"/>
    <n v="68290"/>
    <n v="3300"/>
    <d v="2025-10-09T00:00:00"/>
    <d v="2025-10-09T00:00:00"/>
    <n v="0"/>
    <x v="2"/>
    <s v="No"/>
    <x v="2"/>
    <n v="0"/>
    <s v="On Time"/>
    <x v="1"/>
    <n v="0"/>
    <x v="0"/>
    <n v="1"/>
  </r>
  <r>
    <s v="CUST_0289"/>
    <x v="0"/>
    <x v="1"/>
    <n v="46431"/>
    <n v="2700"/>
    <d v="2025-10-22T00:00:00"/>
    <d v="2025-10-22T00:00:00"/>
    <n v="0"/>
    <x v="3"/>
    <s v="No"/>
    <x v="6"/>
    <n v="0"/>
    <s v="On Time"/>
    <x v="1"/>
    <n v="0"/>
    <x v="3"/>
    <n v="1"/>
  </r>
  <r>
    <s v="CUST_0290"/>
    <x v="0"/>
    <x v="2"/>
    <n v="46385"/>
    <n v="4200"/>
    <d v="2025-10-14T00:00:00"/>
    <d v="2025-10-17T00:00:00"/>
    <n v="3"/>
    <x v="2"/>
    <s v="No"/>
    <x v="4"/>
    <n v="1"/>
    <s v="Delayed"/>
    <x v="0"/>
    <n v="0"/>
    <x v="3"/>
    <n v="0"/>
  </r>
  <r>
    <s v="CUST_0291"/>
    <x v="2"/>
    <x v="1"/>
    <n v="58158"/>
    <n v="8300"/>
    <d v="2025-10-28T00:00:00"/>
    <d v="2025-10-28T00:00:00"/>
    <n v="0"/>
    <x v="1"/>
    <s v="No"/>
    <x v="4"/>
    <n v="0"/>
    <s v="On Time"/>
    <x v="1"/>
    <n v="0"/>
    <x v="3"/>
    <n v="1"/>
  </r>
  <r>
    <s v="CUST_0292"/>
    <x v="2"/>
    <x v="0"/>
    <n v="43019"/>
    <n v="2300"/>
    <d v="2025-10-12T00:00:00"/>
    <d v="2025-10-19T00:00:00"/>
    <n v="7"/>
    <x v="2"/>
    <s v="No"/>
    <x v="4"/>
    <n v="1"/>
    <s v="Delayed"/>
    <x v="0"/>
    <n v="0"/>
    <x v="3"/>
    <n v="0"/>
  </r>
  <r>
    <s v="CUST_0293"/>
    <x v="1"/>
    <x v="0"/>
    <n v="38639"/>
    <n v="4300"/>
    <d v="2025-10-28T00:00:00"/>
    <d v="2025-12-12T00:00:00"/>
    <n v="45"/>
    <x v="1"/>
    <s v="No"/>
    <x v="9"/>
    <n v="1"/>
    <s v="Delayed"/>
    <x v="2"/>
    <n v="0"/>
    <x v="1"/>
    <n v="0"/>
  </r>
  <r>
    <s v="CUST_0294"/>
    <x v="0"/>
    <x v="0"/>
    <n v="41563"/>
    <n v="6900"/>
    <d v="2025-10-25T00:00:00"/>
    <d v="2025-10-25T00:00:00"/>
    <n v="0"/>
    <x v="3"/>
    <s v="Yes"/>
    <x v="2"/>
    <n v="0"/>
    <s v="On Time"/>
    <x v="1"/>
    <n v="1"/>
    <x v="1"/>
    <n v="1"/>
  </r>
  <r>
    <s v="CUST_0295"/>
    <x v="2"/>
    <x v="1"/>
    <n v="59341"/>
    <n v="2600"/>
    <d v="2025-10-20T00:00:00"/>
    <d v="2025-10-20T00:00:00"/>
    <n v="0"/>
    <x v="1"/>
    <s v="No"/>
    <x v="2"/>
    <n v="0"/>
    <s v="On Time"/>
    <x v="1"/>
    <n v="0"/>
    <x v="3"/>
    <n v="1"/>
  </r>
  <r>
    <s v="CUST_0296"/>
    <x v="0"/>
    <x v="0"/>
    <n v="25776"/>
    <n v="1400"/>
    <d v="2025-10-24T00:00:00"/>
    <d v="2025-10-24T00:00:00"/>
    <n v="0"/>
    <x v="1"/>
    <s v="No"/>
    <x v="0"/>
    <n v="0"/>
    <s v="On Time"/>
    <x v="1"/>
    <n v="0"/>
    <x v="1"/>
    <n v="1"/>
  </r>
  <r>
    <s v="CUST_0297"/>
    <x v="1"/>
    <x v="2"/>
    <n v="56444"/>
    <n v="8100"/>
    <d v="2025-10-25T00:00:00"/>
    <d v="2025-10-25T00:00:00"/>
    <n v="0"/>
    <x v="1"/>
    <s v="No"/>
    <x v="4"/>
    <n v="0"/>
    <s v="On Time"/>
    <x v="1"/>
    <n v="0"/>
    <x v="3"/>
    <n v="1"/>
  </r>
  <r>
    <s v="CUST_0298"/>
    <x v="0"/>
    <x v="0"/>
    <n v="88916"/>
    <n v="6400"/>
    <d v="2025-10-04T00:00:00"/>
    <d v="2025-10-04T00:00:00"/>
    <n v="0"/>
    <x v="0"/>
    <s v="No"/>
    <x v="5"/>
    <n v="0"/>
    <s v="On Time"/>
    <x v="1"/>
    <n v="0"/>
    <x v="2"/>
    <n v="1"/>
  </r>
  <r>
    <s v="CUST_0299"/>
    <x v="0"/>
    <x v="0"/>
    <n v="28711"/>
    <n v="4100"/>
    <d v="2025-10-21T00:00:00"/>
    <d v="2025-10-28T00:00:00"/>
    <n v="7"/>
    <x v="1"/>
    <s v="No"/>
    <x v="7"/>
    <n v="1"/>
    <s v="Delayed"/>
    <x v="0"/>
    <n v="0"/>
    <x v="1"/>
    <n v="0"/>
  </r>
  <r>
    <s v="CUST_0300"/>
    <x v="2"/>
    <x v="2"/>
    <n v="94318"/>
    <n v="6700"/>
    <d v="2025-10-30T00:00:00"/>
    <d v="2025-11-02T00:00:00"/>
    <n v="3"/>
    <x v="0"/>
    <s v="No"/>
    <x v="5"/>
    <n v="1"/>
    <s v="Delayed"/>
    <x v="0"/>
    <n v="0"/>
    <x v="2"/>
    <n v="0"/>
  </r>
  <r>
    <s v="CUST_0301"/>
    <x v="2"/>
    <x v="0"/>
    <n v="50707"/>
    <n v="8500"/>
    <d v="2025-10-24T00:00:00"/>
    <d v="2025-10-24T00:00:00"/>
    <n v="0"/>
    <x v="0"/>
    <s v="Yes"/>
    <x v="3"/>
    <n v="0"/>
    <s v="On Time"/>
    <x v="1"/>
    <n v="1"/>
    <x v="3"/>
    <n v="1"/>
  </r>
  <r>
    <s v="CUST_0302"/>
    <x v="0"/>
    <x v="1"/>
    <n v="59110"/>
    <n v="3700"/>
    <d v="2025-10-12T00:00:00"/>
    <d v="2025-10-27T00:00:00"/>
    <n v="15"/>
    <x v="1"/>
    <s v="No"/>
    <x v="9"/>
    <n v="1"/>
    <s v="Delayed"/>
    <x v="2"/>
    <n v="0"/>
    <x v="3"/>
    <n v="0"/>
  </r>
  <r>
    <s v="CUST_0303"/>
    <x v="0"/>
    <x v="0"/>
    <n v="81788"/>
    <n v="10200"/>
    <d v="2025-10-10T00:00:00"/>
    <d v="2025-10-10T00:00:00"/>
    <n v="0"/>
    <x v="1"/>
    <s v="No"/>
    <x v="7"/>
    <n v="0"/>
    <s v="On Time"/>
    <x v="1"/>
    <n v="0"/>
    <x v="2"/>
    <n v="1"/>
  </r>
  <r>
    <s v="CUST_0304"/>
    <x v="0"/>
    <x v="0"/>
    <n v="58827"/>
    <n v="6500"/>
    <d v="2025-10-30T00:00:00"/>
    <d v="2025-11-14T00:00:00"/>
    <n v="15"/>
    <x v="3"/>
    <s v="Yes"/>
    <x v="7"/>
    <n v="1"/>
    <s v="Delayed"/>
    <x v="2"/>
    <n v="1"/>
    <x v="3"/>
    <n v="0"/>
  </r>
  <r>
    <s v="CUST_0305"/>
    <x v="1"/>
    <x v="1"/>
    <n v="25655"/>
    <n v="1100"/>
    <d v="2025-10-22T00:00:00"/>
    <d v="2025-10-25T00:00:00"/>
    <n v="3"/>
    <x v="2"/>
    <s v="Yes"/>
    <x v="7"/>
    <n v="1"/>
    <s v="Delayed"/>
    <x v="0"/>
    <n v="1"/>
    <x v="1"/>
    <n v="0"/>
  </r>
  <r>
    <s v="CUST_0306"/>
    <x v="1"/>
    <x v="0"/>
    <n v="64859"/>
    <n v="5900"/>
    <d v="2025-10-28T00:00:00"/>
    <d v="2025-10-31T00:00:00"/>
    <n v="3"/>
    <x v="2"/>
    <s v="Yes"/>
    <x v="4"/>
    <n v="1"/>
    <s v="Delayed"/>
    <x v="0"/>
    <n v="1"/>
    <x v="0"/>
    <n v="0"/>
  </r>
  <r>
    <s v="CUST_0307"/>
    <x v="0"/>
    <x v="2"/>
    <n v="73625"/>
    <n v="9200"/>
    <d v="2025-10-07T00:00:00"/>
    <d v="2025-10-07T00:00:00"/>
    <n v="0"/>
    <x v="3"/>
    <s v="No"/>
    <x v="0"/>
    <n v="0"/>
    <s v="On Time"/>
    <x v="1"/>
    <n v="0"/>
    <x v="0"/>
    <n v="1"/>
  </r>
  <r>
    <s v="CUST_0308"/>
    <x v="0"/>
    <x v="2"/>
    <n v="72098"/>
    <n v="4500"/>
    <d v="2025-10-03T00:00:00"/>
    <d v="2025-10-03T00:00:00"/>
    <n v="0"/>
    <x v="3"/>
    <s v="No"/>
    <x v="1"/>
    <n v="0"/>
    <s v="On Time"/>
    <x v="1"/>
    <n v="0"/>
    <x v="0"/>
    <n v="1"/>
  </r>
  <r>
    <s v="CUST_0309"/>
    <x v="1"/>
    <x v="1"/>
    <n v="35251"/>
    <n v="1800"/>
    <d v="2025-10-23T00:00:00"/>
    <d v="2025-12-07T00:00:00"/>
    <n v="45"/>
    <x v="0"/>
    <s v="Yes"/>
    <x v="7"/>
    <n v="1"/>
    <s v="Delayed"/>
    <x v="2"/>
    <n v="1"/>
    <x v="1"/>
    <n v="0"/>
  </r>
  <r>
    <s v="CUST_0310"/>
    <x v="0"/>
    <x v="1"/>
    <n v="20526"/>
    <n v="2100"/>
    <d v="2025-10-28T00:00:00"/>
    <d v="2025-10-28T00:00:00"/>
    <n v="0"/>
    <x v="0"/>
    <s v="Yes"/>
    <x v="8"/>
    <n v="0"/>
    <s v="On Time"/>
    <x v="1"/>
    <n v="1"/>
    <x v="1"/>
    <n v="1"/>
  </r>
  <r>
    <s v="CUST_0311"/>
    <x v="0"/>
    <x v="2"/>
    <n v="88760"/>
    <n v="5900"/>
    <d v="2025-10-14T00:00:00"/>
    <d v="2025-11-28T00:00:00"/>
    <n v="45"/>
    <x v="1"/>
    <s v="No"/>
    <x v="3"/>
    <n v="1"/>
    <s v="Delayed"/>
    <x v="2"/>
    <n v="0"/>
    <x v="2"/>
    <n v="0"/>
  </r>
  <r>
    <s v="CUST_0312"/>
    <x v="2"/>
    <x v="0"/>
    <n v="67837"/>
    <n v="4000"/>
    <d v="2025-10-24T00:00:00"/>
    <d v="2025-10-24T00:00:00"/>
    <n v="0"/>
    <x v="2"/>
    <s v="No"/>
    <x v="4"/>
    <n v="0"/>
    <s v="On Time"/>
    <x v="1"/>
    <n v="0"/>
    <x v="0"/>
    <n v="1"/>
  </r>
  <r>
    <s v="CUST_0313"/>
    <x v="2"/>
    <x v="1"/>
    <n v="31536"/>
    <n v="1600"/>
    <d v="2025-10-10T00:00:00"/>
    <d v="2025-10-10T00:00:00"/>
    <n v="0"/>
    <x v="3"/>
    <s v="No"/>
    <x v="5"/>
    <n v="0"/>
    <s v="On Time"/>
    <x v="1"/>
    <n v="0"/>
    <x v="1"/>
    <n v="1"/>
  </r>
  <r>
    <s v="CUST_0314"/>
    <x v="1"/>
    <x v="2"/>
    <n v="48541"/>
    <n v="2200"/>
    <d v="2025-10-16T00:00:00"/>
    <d v="2025-10-16T00:00:00"/>
    <n v="0"/>
    <x v="3"/>
    <s v="No"/>
    <x v="4"/>
    <n v="0"/>
    <s v="On Time"/>
    <x v="1"/>
    <n v="0"/>
    <x v="3"/>
    <n v="1"/>
  </r>
  <r>
    <s v="CUST_0315"/>
    <x v="1"/>
    <x v="0"/>
    <n v="99083"/>
    <n v="6600"/>
    <d v="2025-10-16T00:00:00"/>
    <d v="2025-10-16T00:00:00"/>
    <n v="0"/>
    <x v="3"/>
    <s v="No"/>
    <x v="8"/>
    <n v="0"/>
    <s v="On Time"/>
    <x v="1"/>
    <n v="0"/>
    <x v="2"/>
    <n v="1"/>
  </r>
  <r>
    <s v="CUST_0316"/>
    <x v="0"/>
    <x v="0"/>
    <n v="71027"/>
    <n v="6500"/>
    <d v="2025-10-22T00:00:00"/>
    <d v="2025-11-21T00:00:00"/>
    <n v="30"/>
    <x v="3"/>
    <s v="No"/>
    <x v="9"/>
    <n v="1"/>
    <s v="Delayed"/>
    <x v="2"/>
    <n v="0"/>
    <x v="0"/>
    <n v="0"/>
  </r>
  <r>
    <s v="CUST_0317"/>
    <x v="0"/>
    <x v="0"/>
    <n v="54531"/>
    <n v="2400"/>
    <d v="2025-10-10T00:00:00"/>
    <d v="2025-10-10T00:00:00"/>
    <n v="0"/>
    <x v="3"/>
    <s v="No"/>
    <x v="1"/>
    <n v="0"/>
    <s v="On Time"/>
    <x v="1"/>
    <n v="0"/>
    <x v="3"/>
    <n v="1"/>
  </r>
  <r>
    <s v="CUST_0318"/>
    <x v="2"/>
    <x v="1"/>
    <n v="28712"/>
    <n v="1600"/>
    <d v="2025-10-25T00:00:00"/>
    <d v="2025-10-25T00:00:00"/>
    <n v="0"/>
    <x v="0"/>
    <s v="No"/>
    <x v="9"/>
    <n v="0"/>
    <s v="On Time"/>
    <x v="1"/>
    <n v="0"/>
    <x v="1"/>
    <n v="1"/>
  </r>
  <r>
    <s v="CUST_0319"/>
    <x v="2"/>
    <x v="1"/>
    <n v="85455"/>
    <n v="10700"/>
    <d v="2025-10-13T00:00:00"/>
    <d v="2025-10-13T00:00:00"/>
    <n v="0"/>
    <x v="1"/>
    <s v="No"/>
    <x v="6"/>
    <n v="0"/>
    <s v="On Time"/>
    <x v="1"/>
    <n v="0"/>
    <x v="2"/>
    <n v="1"/>
  </r>
  <r>
    <s v="CUST_0320"/>
    <x v="0"/>
    <x v="1"/>
    <n v="94744"/>
    <n v="6300"/>
    <d v="2025-10-06T00:00:00"/>
    <d v="2025-10-06T00:00:00"/>
    <n v="0"/>
    <x v="3"/>
    <s v="No"/>
    <x v="1"/>
    <n v="0"/>
    <s v="On Time"/>
    <x v="1"/>
    <n v="0"/>
    <x v="2"/>
    <n v="1"/>
  </r>
  <r>
    <s v="CUST_0321"/>
    <x v="0"/>
    <x v="0"/>
    <n v="25109"/>
    <n v="1300"/>
    <d v="2025-10-12T00:00:00"/>
    <d v="2025-10-12T00:00:00"/>
    <n v="0"/>
    <x v="3"/>
    <s v="Yes"/>
    <x v="1"/>
    <n v="0"/>
    <s v="On Time"/>
    <x v="1"/>
    <n v="1"/>
    <x v="1"/>
    <n v="1"/>
  </r>
  <r>
    <s v="CUST_0322"/>
    <x v="1"/>
    <x v="1"/>
    <n v="69268"/>
    <n v="6300"/>
    <d v="2025-10-09T00:00:00"/>
    <d v="2025-10-09T00:00:00"/>
    <n v="0"/>
    <x v="2"/>
    <s v="No"/>
    <x v="3"/>
    <n v="0"/>
    <s v="On Time"/>
    <x v="1"/>
    <n v="0"/>
    <x v="0"/>
    <n v="1"/>
  </r>
  <r>
    <s v="CUST_0323"/>
    <x v="0"/>
    <x v="1"/>
    <n v="74615"/>
    <n v="9300"/>
    <d v="2025-10-13T00:00:00"/>
    <d v="2025-10-28T00:00:00"/>
    <n v="15"/>
    <x v="3"/>
    <s v="No"/>
    <x v="6"/>
    <n v="1"/>
    <s v="Delayed"/>
    <x v="2"/>
    <n v="0"/>
    <x v="0"/>
    <n v="0"/>
  </r>
  <r>
    <s v="CUST_0324"/>
    <x v="0"/>
    <x v="1"/>
    <n v="49759"/>
    <n v="2400"/>
    <d v="2025-10-04T00:00:00"/>
    <d v="2025-10-04T00:00:00"/>
    <n v="0"/>
    <x v="0"/>
    <s v="No"/>
    <x v="9"/>
    <n v="0"/>
    <s v="On Time"/>
    <x v="1"/>
    <n v="0"/>
    <x v="3"/>
    <n v="1"/>
  </r>
  <r>
    <s v="CUST_0325"/>
    <x v="1"/>
    <x v="0"/>
    <n v="80112"/>
    <n v="6700"/>
    <d v="2025-10-24T00:00:00"/>
    <d v="2025-10-24T00:00:00"/>
    <n v="0"/>
    <x v="2"/>
    <s v="Yes"/>
    <x v="2"/>
    <n v="0"/>
    <s v="On Time"/>
    <x v="1"/>
    <n v="1"/>
    <x v="0"/>
    <n v="1"/>
  </r>
  <r>
    <s v="CUST_0326"/>
    <x v="1"/>
    <x v="2"/>
    <n v="46589"/>
    <n v="2500"/>
    <d v="2025-10-11T00:00:00"/>
    <d v="2025-10-11T00:00:00"/>
    <n v="0"/>
    <x v="2"/>
    <s v="No"/>
    <x v="0"/>
    <n v="0"/>
    <s v="On Time"/>
    <x v="1"/>
    <n v="0"/>
    <x v="3"/>
    <n v="1"/>
  </r>
  <r>
    <s v="CUST_0327"/>
    <x v="0"/>
    <x v="1"/>
    <n v="50015"/>
    <n v="3600"/>
    <d v="2025-10-20T00:00:00"/>
    <d v="2025-10-20T00:00:00"/>
    <n v="0"/>
    <x v="2"/>
    <s v="No"/>
    <x v="4"/>
    <n v="0"/>
    <s v="On Time"/>
    <x v="1"/>
    <n v="0"/>
    <x v="3"/>
    <n v="1"/>
  </r>
  <r>
    <s v="CUST_0328"/>
    <x v="0"/>
    <x v="1"/>
    <n v="49009"/>
    <n v="2500"/>
    <d v="2025-10-18T00:00:00"/>
    <d v="2025-12-17T00:00:00"/>
    <n v="60"/>
    <x v="3"/>
    <s v="Yes"/>
    <x v="5"/>
    <n v="1"/>
    <s v="Delayed"/>
    <x v="2"/>
    <n v="1"/>
    <x v="3"/>
    <n v="0"/>
  </r>
  <r>
    <s v="CUST_0329"/>
    <x v="0"/>
    <x v="0"/>
    <n v="82046"/>
    <n v="10300"/>
    <d v="2025-10-26T00:00:00"/>
    <d v="2025-10-26T00:00:00"/>
    <n v="0"/>
    <x v="1"/>
    <s v="No"/>
    <x v="9"/>
    <n v="0"/>
    <s v="On Time"/>
    <x v="1"/>
    <n v="0"/>
    <x v="2"/>
    <n v="1"/>
  </r>
  <r>
    <s v="CUST_0330"/>
    <x v="0"/>
    <x v="1"/>
    <n v="46143"/>
    <n v="6600"/>
    <d v="2025-10-11T00:00:00"/>
    <d v="2025-10-11T00:00:00"/>
    <n v="0"/>
    <x v="1"/>
    <s v="No"/>
    <x v="3"/>
    <n v="0"/>
    <s v="On Time"/>
    <x v="1"/>
    <n v="0"/>
    <x v="3"/>
    <n v="1"/>
  </r>
  <r>
    <s v="CUST_0331"/>
    <x v="0"/>
    <x v="1"/>
    <n v="26154"/>
    <n v="3700"/>
    <d v="2025-10-25T00:00:00"/>
    <d v="2025-10-28T00:00:00"/>
    <n v="3"/>
    <x v="1"/>
    <s v="No"/>
    <x v="5"/>
    <n v="1"/>
    <s v="Delayed"/>
    <x v="0"/>
    <n v="0"/>
    <x v="1"/>
    <n v="0"/>
  </r>
  <r>
    <s v="CUST_0332"/>
    <x v="1"/>
    <x v="1"/>
    <n v="41804"/>
    <n v="5200"/>
    <d v="2025-10-21T00:00:00"/>
    <d v="2025-10-21T00:00:00"/>
    <n v="0"/>
    <x v="3"/>
    <s v="Yes"/>
    <x v="5"/>
    <n v="0"/>
    <s v="On Time"/>
    <x v="1"/>
    <n v="1"/>
    <x v="1"/>
    <n v="1"/>
  </r>
  <r>
    <s v="CUST_0333"/>
    <x v="2"/>
    <x v="1"/>
    <n v="61688"/>
    <n v="2700"/>
    <d v="2025-10-04T00:00:00"/>
    <d v="2025-10-04T00:00:00"/>
    <n v="0"/>
    <x v="2"/>
    <s v="No"/>
    <x v="8"/>
    <n v="0"/>
    <s v="On Time"/>
    <x v="1"/>
    <n v="0"/>
    <x v="0"/>
    <n v="1"/>
  </r>
  <r>
    <s v="CUST_0334"/>
    <x v="2"/>
    <x v="1"/>
    <n v="84288"/>
    <n v="4400"/>
    <d v="2025-10-18T00:00:00"/>
    <d v="2025-12-02T00:00:00"/>
    <n v="45"/>
    <x v="2"/>
    <s v="No"/>
    <x v="2"/>
    <n v="1"/>
    <s v="Delayed"/>
    <x v="2"/>
    <n v="0"/>
    <x v="2"/>
    <n v="0"/>
  </r>
  <r>
    <s v="CUST_0335"/>
    <x v="2"/>
    <x v="1"/>
    <n v="71195"/>
    <n v="3100"/>
    <d v="2025-10-01T00:00:00"/>
    <d v="2025-10-08T00:00:00"/>
    <n v="7"/>
    <x v="0"/>
    <s v="No"/>
    <x v="0"/>
    <n v="1"/>
    <s v="Delayed"/>
    <x v="0"/>
    <n v="0"/>
    <x v="0"/>
    <n v="0"/>
  </r>
  <r>
    <s v="CUST_0336"/>
    <x v="2"/>
    <x v="1"/>
    <n v="40581"/>
    <n v="2700"/>
    <d v="2025-10-27T00:00:00"/>
    <d v="2025-12-26T00:00:00"/>
    <n v="60"/>
    <x v="2"/>
    <s v="No"/>
    <x v="9"/>
    <n v="1"/>
    <s v="Delayed"/>
    <x v="2"/>
    <n v="0"/>
    <x v="1"/>
    <n v="0"/>
  </r>
  <r>
    <s v="CUST_0337"/>
    <x v="1"/>
    <x v="2"/>
    <n v="72648"/>
    <n v="10400"/>
    <d v="2025-10-07T00:00:00"/>
    <d v="2025-10-07T00:00:00"/>
    <n v="0"/>
    <x v="2"/>
    <s v="No"/>
    <x v="6"/>
    <n v="0"/>
    <s v="On Time"/>
    <x v="1"/>
    <n v="0"/>
    <x v="0"/>
    <n v="1"/>
  </r>
  <r>
    <s v="CUST_0338"/>
    <x v="1"/>
    <x v="1"/>
    <n v="50087"/>
    <n v="8300"/>
    <d v="2025-10-06T00:00:00"/>
    <d v="2025-10-06T00:00:00"/>
    <n v="0"/>
    <x v="1"/>
    <s v="No"/>
    <x v="4"/>
    <n v="0"/>
    <s v="On Time"/>
    <x v="1"/>
    <n v="0"/>
    <x v="3"/>
    <n v="1"/>
  </r>
  <r>
    <s v="CUST_0339"/>
    <x v="0"/>
    <x v="0"/>
    <n v="69930"/>
    <n v="7800"/>
    <d v="2025-10-15T00:00:00"/>
    <d v="2025-10-15T00:00:00"/>
    <n v="0"/>
    <x v="1"/>
    <s v="No"/>
    <x v="4"/>
    <n v="0"/>
    <s v="On Time"/>
    <x v="1"/>
    <n v="0"/>
    <x v="0"/>
    <n v="1"/>
  </r>
  <r>
    <s v="CUST_0340"/>
    <x v="2"/>
    <x v="0"/>
    <n v="52981"/>
    <n v="2800"/>
    <d v="2025-10-18T00:00:00"/>
    <d v="2025-10-18T00:00:00"/>
    <n v="0"/>
    <x v="2"/>
    <s v="No"/>
    <x v="3"/>
    <n v="0"/>
    <s v="On Time"/>
    <x v="1"/>
    <n v="0"/>
    <x v="3"/>
    <n v="1"/>
  </r>
  <r>
    <s v="CUST_0341"/>
    <x v="0"/>
    <x v="1"/>
    <n v="89298"/>
    <n v="14900"/>
    <d v="2025-10-24T00:00:00"/>
    <d v="2025-11-08T00:00:00"/>
    <n v="15"/>
    <x v="2"/>
    <s v="Yes"/>
    <x v="1"/>
    <n v="1"/>
    <s v="Delayed"/>
    <x v="2"/>
    <n v="1"/>
    <x v="2"/>
    <n v="0"/>
  </r>
  <r>
    <s v="CUST_0342"/>
    <x v="0"/>
    <x v="0"/>
    <n v="66167"/>
    <n v="3500"/>
    <d v="2025-10-11T00:00:00"/>
    <d v="2025-10-11T00:00:00"/>
    <n v="0"/>
    <x v="2"/>
    <s v="No"/>
    <x v="5"/>
    <n v="0"/>
    <s v="On Time"/>
    <x v="1"/>
    <n v="0"/>
    <x v="0"/>
    <n v="1"/>
  </r>
  <r>
    <s v="CUST_0343"/>
    <x v="2"/>
    <x v="1"/>
    <n v="95304"/>
    <n v="4500"/>
    <d v="2025-10-20T00:00:00"/>
    <d v="2025-11-04T00:00:00"/>
    <n v="15"/>
    <x v="0"/>
    <s v="No"/>
    <x v="8"/>
    <n v="1"/>
    <s v="Delayed"/>
    <x v="2"/>
    <n v="0"/>
    <x v="2"/>
    <n v="0"/>
  </r>
  <r>
    <s v="CUST_0344"/>
    <x v="0"/>
    <x v="2"/>
    <n v="63408"/>
    <n v="3300"/>
    <d v="2025-10-24T00:00:00"/>
    <d v="2025-10-31T00:00:00"/>
    <n v="7"/>
    <x v="2"/>
    <s v="No"/>
    <x v="8"/>
    <n v="1"/>
    <s v="Delayed"/>
    <x v="0"/>
    <n v="0"/>
    <x v="0"/>
    <n v="0"/>
  </r>
  <r>
    <s v="CUST_0345"/>
    <x v="0"/>
    <x v="1"/>
    <n v="59499"/>
    <n v="7400"/>
    <d v="2025-10-15T00:00:00"/>
    <d v="2025-10-15T00:00:00"/>
    <n v="0"/>
    <x v="0"/>
    <s v="Yes"/>
    <x v="6"/>
    <n v="0"/>
    <s v="On Time"/>
    <x v="1"/>
    <n v="1"/>
    <x v="3"/>
    <n v="1"/>
  </r>
  <r>
    <s v="CUST_0346"/>
    <x v="0"/>
    <x v="1"/>
    <n v="72269"/>
    <n v="9000"/>
    <d v="2025-10-16T00:00:00"/>
    <d v="2025-10-16T00:00:00"/>
    <n v="0"/>
    <x v="2"/>
    <s v="No"/>
    <x v="8"/>
    <n v="0"/>
    <s v="On Time"/>
    <x v="1"/>
    <n v="0"/>
    <x v="0"/>
    <n v="1"/>
  </r>
  <r>
    <s v="CUST_0347"/>
    <x v="0"/>
    <x v="1"/>
    <n v="58559"/>
    <n v="4200"/>
    <d v="2025-10-07T00:00:00"/>
    <d v="2025-10-10T00:00:00"/>
    <n v="3"/>
    <x v="0"/>
    <s v="No"/>
    <x v="5"/>
    <n v="1"/>
    <s v="Delayed"/>
    <x v="0"/>
    <n v="0"/>
    <x v="3"/>
    <n v="0"/>
  </r>
  <r>
    <s v="CUST_0348"/>
    <x v="2"/>
    <x v="2"/>
    <n v="94319"/>
    <n v="8600"/>
    <d v="2025-10-21T00:00:00"/>
    <d v="2025-10-21T00:00:00"/>
    <n v="0"/>
    <x v="1"/>
    <s v="Yes"/>
    <x v="7"/>
    <n v="0"/>
    <s v="On Time"/>
    <x v="1"/>
    <n v="1"/>
    <x v="2"/>
    <n v="1"/>
  </r>
  <r>
    <s v="CUST_0349"/>
    <x v="0"/>
    <x v="0"/>
    <n v="68787"/>
    <n v="3800"/>
    <d v="2025-10-10T00:00:00"/>
    <d v="2025-10-25T00:00:00"/>
    <n v="15"/>
    <x v="2"/>
    <s v="Yes"/>
    <x v="1"/>
    <n v="1"/>
    <s v="Delayed"/>
    <x v="2"/>
    <n v="1"/>
    <x v="0"/>
    <n v="0"/>
  </r>
  <r>
    <s v="CUST_0350"/>
    <x v="0"/>
    <x v="0"/>
    <n v="55488"/>
    <n v="7900"/>
    <d v="2025-10-26T00:00:00"/>
    <d v="2025-10-26T00:00:00"/>
    <n v="0"/>
    <x v="0"/>
    <s v="Yes"/>
    <x v="7"/>
    <n v="0"/>
    <s v="On Time"/>
    <x v="1"/>
    <n v="1"/>
    <x v="3"/>
    <n v="1"/>
  </r>
  <r>
    <s v="CUST_0351"/>
    <x v="0"/>
    <x v="1"/>
    <n v="94441"/>
    <n v="7300"/>
    <d v="2025-10-12T00:00:00"/>
    <d v="2025-10-12T00:00:00"/>
    <n v="0"/>
    <x v="3"/>
    <s v="No"/>
    <x v="1"/>
    <n v="0"/>
    <s v="On Time"/>
    <x v="1"/>
    <n v="0"/>
    <x v="2"/>
    <n v="1"/>
  </r>
  <r>
    <s v="CUST_0352"/>
    <x v="1"/>
    <x v="0"/>
    <n v="94663"/>
    <n v="13500"/>
    <d v="2025-10-24T00:00:00"/>
    <d v="2025-10-27T00:00:00"/>
    <n v="3"/>
    <x v="0"/>
    <s v="Yes"/>
    <x v="2"/>
    <n v="1"/>
    <s v="Delayed"/>
    <x v="0"/>
    <n v="1"/>
    <x v="2"/>
    <n v="0"/>
  </r>
  <r>
    <s v="CUST_0353"/>
    <x v="0"/>
    <x v="1"/>
    <n v="42431"/>
    <n v="4700"/>
    <d v="2025-10-14T00:00:00"/>
    <d v="2025-12-13T00:00:00"/>
    <n v="60"/>
    <x v="1"/>
    <s v="Yes"/>
    <x v="2"/>
    <n v="1"/>
    <s v="Delayed"/>
    <x v="2"/>
    <n v="1"/>
    <x v="1"/>
    <n v="0"/>
  </r>
  <r>
    <s v="CUST_0354"/>
    <x v="2"/>
    <x v="0"/>
    <n v="81681"/>
    <n v="4100"/>
    <d v="2025-10-25T00:00:00"/>
    <d v="2025-10-25T00:00:00"/>
    <n v="0"/>
    <x v="3"/>
    <s v="No"/>
    <x v="6"/>
    <n v="0"/>
    <s v="On Time"/>
    <x v="1"/>
    <n v="0"/>
    <x v="2"/>
    <n v="1"/>
  </r>
  <r>
    <s v="CUST_0355"/>
    <x v="2"/>
    <x v="1"/>
    <n v="83483"/>
    <n v="9300"/>
    <d v="2025-10-05T00:00:00"/>
    <d v="2025-10-20T00:00:00"/>
    <n v="15"/>
    <x v="1"/>
    <s v="No"/>
    <x v="7"/>
    <n v="1"/>
    <s v="Delayed"/>
    <x v="2"/>
    <n v="0"/>
    <x v="2"/>
    <n v="0"/>
  </r>
  <r>
    <s v="CUST_0356"/>
    <x v="0"/>
    <x v="1"/>
    <n v="69153"/>
    <n v="3800"/>
    <d v="2025-10-26T00:00:00"/>
    <d v="2025-10-26T00:00:00"/>
    <n v="0"/>
    <x v="0"/>
    <s v="Yes"/>
    <x v="2"/>
    <n v="0"/>
    <s v="On Time"/>
    <x v="1"/>
    <n v="1"/>
    <x v="0"/>
    <n v="1"/>
  </r>
  <r>
    <s v="CUST_0357"/>
    <x v="2"/>
    <x v="1"/>
    <n v="26368"/>
    <n v="1600"/>
    <d v="2025-10-21T00:00:00"/>
    <d v="2025-10-28T00:00:00"/>
    <n v="7"/>
    <x v="3"/>
    <s v="Yes"/>
    <x v="2"/>
    <n v="1"/>
    <s v="Delayed"/>
    <x v="0"/>
    <n v="1"/>
    <x v="1"/>
    <n v="0"/>
  </r>
  <r>
    <s v="CUST_0358"/>
    <x v="0"/>
    <x v="1"/>
    <n v="47424"/>
    <n v="2600"/>
    <d v="2025-10-18T00:00:00"/>
    <d v="2025-10-25T00:00:00"/>
    <n v="7"/>
    <x v="2"/>
    <s v="Yes"/>
    <x v="2"/>
    <n v="1"/>
    <s v="Delayed"/>
    <x v="0"/>
    <n v="1"/>
    <x v="3"/>
    <n v="0"/>
  </r>
  <r>
    <s v="CUST_0359"/>
    <x v="1"/>
    <x v="0"/>
    <n v="65004"/>
    <n v="3400"/>
    <d v="2025-10-05T00:00:00"/>
    <d v="2025-10-05T00:00:00"/>
    <n v="0"/>
    <x v="1"/>
    <s v="Yes"/>
    <x v="4"/>
    <n v="0"/>
    <s v="On Time"/>
    <x v="1"/>
    <n v="1"/>
    <x v="0"/>
    <n v="1"/>
  </r>
  <r>
    <s v="CUST_0360"/>
    <x v="0"/>
    <x v="1"/>
    <n v="76985"/>
    <n v="3300"/>
    <d v="2025-10-03T00:00:00"/>
    <d v="2025-10-03T00:00:00"/>
    <n v="0"/>
    <x v="1"/>
    <s v="No"/>
    <x v="6"/>
    <n v="0"/>
    <s v="On Time"/>
    <x v="1"/>
    <n v="0"/>
    <x v="0"/>
    <n v="1"/>
  </r>
  <r>
    <s v="CUST_0361"/>
    <x v="0"/>
    <x v="0"/>
    <n v="70069"/>
    <n v="6400"/>
    <d v="2025-10-23T00:00:00"/>
    <d v="2025-10-30T00:00:00"/>
    <n v="7"/>
    <x v="2"/>
    <s v="Yes"/>
    <x v="3"/>
    <n v="1"/>
    <s v="Delayed"/>
    <x v="0"/>
    <n v="1"/>
    <x v="0"/>
    <n v="0"/>
  </r>
  <r>
    <s v="CUST_0362"/>
    <x v="0"/>
    <x v="1"/>
    <n v="72326"/>
    <n v="4500"/>
    <d v="2025-10-26T00:00:00"/>
    <d v="2025-10-26T00:00:00"/>
    <n v="0"/>
    <x v="3"/>
    <s v="Yes"/>
    <x v="3"/>
    <n v="0"/>
    <s v="On Time"/>
    <x v="1"/>
    <n v="1"/>
    <x v="0"/>
    <n v="1"/>
  </r>
  <r>
    <s v="CUST_0363"/>
    <x v="0"/>
    <x v="0"/>
    <n v="43398"/>
    <n v="6200"/>
    <d v="2025-10-05T00:00:00"/>
    <d v="2025-10-12T00:00:00"/>
    <n v="7"/>
    <x v="3"/>
    <s v="No"/>
    <x v="0"/>
    <n v="1"/>
    <s v="Delayed"/>
    <x v="0"/>
    <n v="0"/>
    <x v="3"/>
    <n v="0"/>
  </r>
  <r>
    <s v="CUST_0364"/>
    <x v="0"/>
    <x v="1"/>
    <n v="70861"/>
    <n v="7100"/>
    <d v="2025-10-24T00:00:00"/>
    <d v="2025-10-24T00:00:00"/>
    <n v="0"/>
    <x v="2"/>
    <s v="No"/>
    <x v="5"/>
    <n v="0"/>
    <s v="On Time"/>
    <x v="1"/>
    <n v="0"/>
    <x v="0"/>
    <n v="1"/>
  </r>
  <r>
    <s v="CUST_0365"/>
    <x v="1"/>
    <x v="1"/>
    <n v="95897"/>
    <n v="13700"/>
    <d v="2025-10-17T00:00:00"/>
    <d v="2025-11-01T00:00:00"/>
    <n v="15"/>
    <x v="2"/>
    <s v="No"/>
    <x v="2"/>
    <n v="1"/>
    <s v="Delayed"/>
    <x v="2"/>
    <n v="0"/>
    <x v="2"/>
    <n v="0"/>
  </r>
  <r>
    <s v="CUST_0366"/>
    <x v="0"/>
    <x v="0"/>
    <n v="88577"/>
    <n v="5900"/>
    <d v="2025-10-19T00:00:00"/>
    <d v="2025-10-26T00:00:00"/>
    <n v="7"/>
    <x v="0"/>
    <s v="No"/>
    <x v="6"/>
    <n v="1"/>
    <s v="Delayed"/>
    <x v="0"/>
    <n v="0"/>
    <x v="2"/>
    <n v="0"/>
  </r>
  <r>
    <s v="CUST_0367"/>
    <x v="1"/>
    <x v="1"/>
    <n v="85641"/>
    <n v="12200"/>
    <d v="2025-10-19T00:00:00"/>
    <d v="2025-11-18T00:00:00"/>
    <n v="30"/>
    <x v="3"/>
    <s v="No"/>
    <x v="8"/>
    <n v="1"/>
    <s v="Delayed"/>
    <x v="2"/>
    <n v="0"/>
    <x v="2"/>
    <n v="0"/>
  </r>
  <r>
    <s v="CUST_0368"/>
    <x v="1"/>
    <x v="1"/>
    <n v="29078"/>
    <n v="1800"/>
    <d v="2025-10-25T00:00:00"/>
    <d v="2025-10-25T00:00:00"/>
    <n v="0"/>
    <x v="1"/>
    <s v="No"/>
    <x v="7"/>
    <n v="0"/>
    <s v="On Time"/>
    <x v="1"/>
    <n v="0"/>
    <x v="1"/>
    <n v="1"/>
  </r>
  <r>
    <s v="CUST_0369"/>
    <x v="2"/>
    <x v="0"/>
    <n v="45003"/>
    <n v="2000"/>
    <d v="2025-10-21T00:00:00"/>
    <d v="2025-10-24T00:00:00"/>
    <n v="3"/>
    <x v="3"/>
    <s v="No"/>
    <x v="4"/>
    <n v="1"/>
    <s v="Delayed"/>
    <x v="0"/>
    <n v="0"/>
    <x v="3"/>
    <n v="0"/>
  </r>
  <r>
    <s v="CUST_0370"/>
    <x v="2"/>
    <x v="2"/>
    <n v="82768"/>
    <n v="4100"/>
    <d v="2025-10-12T00:00:00"/>
    <d v="2025-10-15T00:00:00"/>
    <n v="3"/>
    <x v="3"/>
    <s v="No"/>
    <x v="7"/>
    <n v="1"/>
    <s v="Delayed"/>
    <x v="0"/>
    <n v="0"/>
    <x v="2"/>
    <n v="0"/>
  </r>
  <r>
    <s v="CUST_0371"/>
    <x v="2"/>
    <x v="1"/>
    <n v="71047"/>
    <n v="5100"/>
    <d v="2025-10-25T00:00:00"/>
    <d v="2025-10-25T00:00:00"/>
    <n v="0"/>
    <x v="2"/>
    <s v="No"/>
    <x v="7"/>
    <n v="0"/>
    <s v="On Time"/>
    <x v="1"/>
    <n v="0"/>
    <x v="0"/>
    <n v="1"/>
  </r>
  <r>
    <s v="CUST_0372"/>
    <x v="2"/>
    <x v="1"/>
    <n v="91626"/>
    <n v="6500"/>
    <d v="2025-10-29T00:00:00"/>
    <d v="2025-10-29T00:00:00"/>
    <n v="0"/>
    <x v="2"/>
    <s v="Yes"/>
    <x v="4"/>
    <n v="0"/>
    <s v="On Time"/>
    <x v="1"/>
    <n v="1"/>
    <x v="2"/>
    <n v="1"/>
  </r>
  <r>
    <s v="CUST_0373"/>
    <x v="2"/>
    <x v="0"/>
    <n v="77660"/>
    <n v="9700"/>
    <d v="2025-10-09T00:00:00"/>
    <d v="2025-10-09T00:00:00"/>
    <n v="0"/>
    <x v="1"/>
    <s v="No"/>
    <x v="7"/>
    <n v="0"/>
    <s v="On Time"/>
    <x v="1"/>
    <n v="0"/>
    <x v="0"/>
    <n v="1"/>
  </r>
  <r>
    <s v="CUST_0374"/>
    <x v="0"/>
    <x v="1"/>
    <n v="69786"/>
    <n v="5000"/>
    <d v="2025-10-01T00:00:00"/>
    <d v="2025-10-08T00:00:00"/>
    <n v="7"/>
    <x v="0"/>
    <s v="Yes"/>
    <x v="2"/>
    <n v="1"/>
    <s v="Delayed"/>
    <x v="0"/>
    <n v="1"/>
    <x v="0"/>
    <n v="0"/>
  </r>
  <r>
    <s v="CUST_0375"/>
    <x v="2"/>
    <x v="1"/>
    <n v="21925"/>
    <n v="1200"/>
    <d v="2025-10-18T00:00:00"/>
    <d v="2025-10-18T00:00:00"/>
    <n v="0"/>
    <x v="1"/>
    <s v="No"/>
    <x v="4"/>
    <n v="0"/>
    <s v="On Time"/>
    <x v="1"/>
    <n v="0"/>
    <x v="1"/>
    <n v="1"/>
  </r>
  <r>
    <s v="CUST_0376"/>
    <x v="0"/>
    <x v="1"/>
    <n v="46015"/>
    <n v="3800"/>
    <d v="2025-10-21T00:00:00"/>
    <d v="2025-10-21T00:00:00"/>
    <n v="0"/>
    <x v="0"/>
    <s v="No"/>
    <x v="3"/>
    <n v="0"/>
    <s v="On Time"/>
    <x v="1"/>
    <n v="0"/>
    <x v="3"/>
    <n v="1"/>
  </r>
  <r>
    <s v="CUST_0377"/>
    <x v="1"/>
    <x v="0"/>
    <n v="53320"/>
    <n v="2500"/>
    <d v="2025-10-04T00:00:00"/>
    <d v="2025-10-07T00:00:00"/>
    <n v="3"/>
    <x v="0"/>
    <s v="No"/>
    <x v="6"/>
    <n v="1"/>
    <s v="Delayed"/>
    <x v="0"/>
    <n v="0"/>
    <x v="3"/>
    <n v="0"/>
  </r>
  <r>
    <s v="CUST_0378"/>
    <x v="2"/>
    <x v="0"/>
    <n v="84881"/>
    <n v="4000"/>
    <d v="2025-10-10T00:00:00"/>
    <d v="2025-10-10T00:00:00"/>
    <n v="0"/>
    <x v="2"/>
    <s v="Yes"/>
    <x v="3"/>
    <n v="0"/>
    <s v="On Time"/>
    <x v="1"/>
    <n v="1"/>
    <x v="2"/>
    <n v="1"/>
  </r>
  <r>
    <s v="CUST_0379"/>
    <x v="1"/>
    <x v="1"/>
    <n v="46289"/>
    <n v="7700"/>
    <d v="2025-10-25T00:00:00"/>
    <d v="2025-10-25T00:00:00"/>
    <n v="0"/>
    <x v="1"/>
    <s v="No"/>
    <x v="6"/>
    <n v="0"/>
    <s v="On Time"/>
    <x v="1"/>
    <n v="0"/>
    <x v="3"/>
    <n v="1"/>
  </r>
  <r>
    <s v="CUST_0380"/>
    <x v="0"/>
    <x v="1"/>
    <n v="23389"/>
    <n v="2600"/>
    <d v="2025-10-07T00:00:00"/>
    <d v="2025-11-21T00:00:00"/>
    <n v="45"/>
    <x v="1"/>
    <s v="No"/>
    <x v="9"/>
    <n v="1"/>
    <s v="Delayed"/>
    <x v="2"/>
    <n v="0"/>
    <x v="1"/>
    <n v="0"/>
  </r>
  <r>
    <s v="CUST_0381"/>
    <x v="2"/>
    <x v="1"/>
    <n v="45683"/>
    <n v="5100"/>
    <d v="2025-10-22T00:00:00"/>
    <d v="2025-12-06T00:00:00"/>
    <n v="45"/>
    <x v="3"/>
    <s v="No"/>
    <x v="0"/>
    <n v="1"/>
    <s v="Delayed"/>
    <x v="2"/>
    <n v="0"/>
    <x v="3"/>
    <n v="0"/>
  </r>
  <r>
    <s v="CUST_0382"/>
    <x v="0"/>
    <x v="0"/>
    <n v="33629"/>
    <n v="2800"/>
    <d v="2025-10-23T00:00:00"/>
    <d v="2025-10-23T00:00:00"/>
    <n v="0"/>
    <x v="1"/>
    <s v="No"/>
    <x v="1"/>
    <n v="0"/>
    <s v="On Time"/>
    <x v="1"/>
    <n v="0"/>
    <x v="1"/>
    <n v="1"/>
  </r>
  <r>
    <s v="CUST_0383"/>
    <x v="0"/>
    <x v="1"/>
    <n v="81550"/>
    <n v="6300"/>
    <d v="2025-10-01T00:00:00"/>
    <d v="2025-10-01T00:00:00"/>
    <n v="0"/>
    <x v="3"/>
    <s v="No"/>
    <x v="7"/>
    <n v="0"/>
    <s v="On Time"/>
    <x v="1"/>
    <n v="0"/>
    <x v="2"/>
    <n v="1"/>
  </r>
  <r>
    <s v="CUST_0384"/>
    <x v="1"/>
    <x v="1"/>
    <n v="44826"/>
    <n v="2000"/>
    <d v="2025-10-17T00:00:00"/>
    <d v="2025-10-24T00:00:00"/>
    <n v="7"/>
    <x v="2"/>
    <s v="No"/>
    <x v="5"/>
    <n v="1"/>
    <s v="Delayed"/>
    <x v="0"/>
    <n v="0"/>
    <x v="3"/>
    <n v="0"/>
  </r>
  <r>
    <s v="CUST_0385"/>
    <x v="1"/>
    <x v="0"/>
    <n v="46630"/>
    <n v="4700"/>
    <d v="2025-10-24T00:00:00"/>
    <d v="2025-10-24T00:00:00"/>
    <n v="0"/>
    <x v="1"/>
    <s v="No"/>
    <x v="6"/>
    <n v="0"/>
    <s v="On Time"/>
    <x v="1"/>
    <n v="0"/>
    <x v="3"/>
    <n v="1"/>
  </r>
  <r>
    <s v="CUST_0386"/>
    <x v="1"/>
    <x v="1"/>
    <n v="66163"/>
    <n v="5500"/>
    <d v="2025-10-29T00:00:00"/>
    <d v="2025-10-29T00:00:00"/>
    <n v="0"/>
    <x v="3"/>
    <s v="No"/>
    <x v="5"/>
    <n v="0"/>
    <s v="On Time"/>
    <x v="1"/>
    <n v="0"/>
    <x v="0"/>
    <n v="1"/>
  </r>
  <r>
    <s v="CUST_0387"/>
    <x v="0"/>
    <x v="0"/>
    <n v="86435"/>
    <n v="9600"/>
    <d v="2025-10-29T00:00:00"/>
    <d v="2025-10-29T00:00:00"/>
    <n v="0"/>
    <x v="3"/>
    <s v="Yes"/>
    <x v="0"/>
    <n v="0"/>
    <s v="On Time"/>
    <x v="1"/>
    <n v="1"/>
    <x v="2"/>
    <n v="1"/>
  </r>
  <r>
    <s v="CUST_0388"/>
    <x v="2"/>
    <x v="1"/>
    <n v="31653"/>
    <n v="2900"/>
    <d v="2025-10-02T00:00:00"/>
    <d v="2025-10-02T00:00:00"/>
    <n v="0"/>
    <x v="0"/>
    <s v="No"/>
    <x v="1"/>
    <n v="0"/>
    <s v="On Time"/>
    <x v="1"/>
    <n v="0"/>
    <x v="1"/>
    <n v="1"/>
  </r>
  <r>
    <s v="CUST_0389"/>
    <x v="1"/>
    <x v="1"/>
    <n v="47961"/>
    <n v="4000"/>
    <d v="2025-10-28T00:00:00"/>
    <d v="2025-10-31T00:00:00"/>
    <n v="3"/>
    <x v="1"/>
    <s v="No"/>
    <x v="8"/>
    <n v="1"/>
    <s v="Delayed"/>
    <x v="0"/>
    <n v="0"/>
    <x v="3"/>
    <n v="0"/>
  </r>
  <r>
    <s v="CUST_0390"/>
    <x v="1"/>
    <x v="1"/>
    <n v="94137"/>
    <n v="4100"/>
    <d v="2025-10-26T00:00:00"/>
    <d v="2025-10-26T00:00:00"/>
    <n v="0"/>
    <x v="3"/>
    <s v="No"/>
    <x v="9"/>
    <n v="0"/>
    <s v="On Time"/>
    <x v="1"/>
    <n v="0"/>
    <x v="2"/>
    <n v="1"/>
  </r>
  <r>
    <s v="CUST_0391"/>
    <x v="1"/>
    <x v="0"/>
    <n v="53662"/>
    <n v="5400"/>
    <d v="2025-10-11T00:00:00"/>
    <d v="2025-10-14T00:00:00"/>
    <n v="3"/>
    <x v="1"/>
    <s v="Yes"/>
    <x v="0"/>
    <n v="1"/>
    <s v="Delayed"/>
    <x v="0"/>
    <n v="1"/>
    <x v="3"/>
    <n v="0"/>
  </r>
  <r>
    <s v="CUST_0392"/>
    <x v="0"/>
    <x v="0"/>
    <n v="76446"/>
    <n v="9600"/>
    <d v="2025-10-09T00:00:00"/>
    <d v="2025-11-08T00:00:00"/>
    <n v="30"/>
    <x v="2"/>
    <s v="No"/>
    <x v="7"/>
    <n v="1"/>
    <s v="Delayed"/>
    <x v="2"/>
    <n v="0"/>
    <x v="0"/>
    <n v="0"/>
  </r>
  <r>
    <s v="CUST_0393"/>
    <x v="0"/>
    <x v="0"/>
    <n v="41288"/>
    <n v="3400"/>
    <d v="2025-10-07T00:00:00"/>
    <d v="2025-10-07T00:00:00"/>
    <n v="0"/>
    <x v="2"/>
    <s v="No"/>
    <x v="4"/>
    <n v="0"/>
    <s v="On Time"/>
    <x v="1"/>
    <n v="0"/>
    <x v="1"/>
    <n v="1"/>
  </r>
  <r>
    <s v="CUST_0394"/>
    <x v="1"/>
    <x v="1"/>
    <n v="56877"/>
    <n v="3000"/>
    <d v="2025-10-22T00:00:00"/>
    <d v="2025-10-29T00:00:00"/>
    <n v="7"/>
    <x v="0"/>
    <s v="No"/>
    <x v="2"/>
    <n v="1"/>
    <s v="Delayed"/>
    <x v="0"/>
    <n v="0"/>
    <x v="3"/>
    <n v="0"/>
  </r>
  <r>
    <s v="CUST_0395"/>
    <x v="0"/>
    <x v="0"/>
    <n v="35313"/>
    <n v="2900"/>
    <d v="2025-10-17T00:00:00"/>
    <d v="2025-11-16T00:00:00"/>
    <n v="30"/>
    <x v="1"/>
    <s v="No"/>
    <x v="7"/>
    <n v="1"/>
    <s v="Delayed"/>
    <x v="2"/>
    <n v="0"/>
    <x v="1"/>
    <n v="0"/>
  </r>
  <r>
    <s v="CUST_0396"/>
    <x v="1"/>
    <x v="1"/>
    <n v="92715"/>
    <n v="9300"/>
    <d v="2025-10-17T00:00:00"/>
    <d v="2025-10-17T00:00:00"/>
    <n v="0"/>
    <x v="2"/>
    <s v="No"/>
    <x v="7"/>
    <n v="0"/>
    <s v="On Time"/>
    <x v="1"/>
    <n v="0"/>
    <x v="2"/>
    <n v="1"/>
  </r>
  <r>
    <s v="CUST_0397"/>
    <x v="1"/>
    <x v="1"/>
    <n v="30326"/>
    <n v="3000"/>
    <d v="2025-10-02T00:00:00"/>
    <d v="2025-10-02T00:00:00"/>
    <n v="0"/>
    <x v="1"/>
    <s v="No"/>
    <x v="9"/>
    <n v="0"/>
    <s v="On Time"/>
    <x v="1"/>
    <n v="0"/>
    <x v="1"/>
    <n v="1"/>
  </r>
  <r>
    <s v="CUST_0398"/>
    <x v="0"/>
    <x v="0"/>
    <n v="21560"/>
    <n v="3100"/>
    <d v="2025-10-06T00:00:00"/>
    <d v="2025-10-09T00:00:00"/>
    <n v="3"/>
    <x v="0"/>
    <s v="No"/>
    <x v="6"/>
    <n v="1"/>
    <s v="Delayed"/>
    <x v="0"/>
    <n v="0"/>
    <x v="1"/>
    <n v="0"/>
  </r>
  <r>
    <s v="CUST_0399"/>
    <x v="1"/>
    <x v="1"/>
    <n v="99148"/>
    <n v="9000"/>
    <d v="2025-10-14T00:00:00"/>
    <d v="2025-10-17T00:00:00"/>
    <n v="3"/>
    <x v="3"/>
    <s v="Yes"/>
    <x v="1"/>
    <n v="1"/>
    <s v="Delayed"/>
    <x v="0"/>
    <n v="1"/>
    <x v="2"/>
    <n v="0"/>
  </r>
  <r>
    <s v="CUST_0400"/>
    <x v="1"/>
    <x v="1"/>
    <n v="46745"/>
    <n v="2300"/>
    <d v="2025-10-06T00:00:00"/>
    <d v="2025-10-21T00:00:00"/>
    <n v="15"/>
    <x v="3"/>
    <s v="No"/>
    <x v="0"/>
    <n v="1"/>
    <s v="Delayed"/>
    <x v="2"/>
    <n v="0"/>
    <x v="3"/>
    <n v="0"/>
  </r>
  <r>
    <s v="CUST_0401"/>
    <x v="2"/>
    <x v="1"/>
    <n v="51890"/>
    <n v="3500"/>
    <d v="2025-10-02T00:00:00"/>
    <d v="2025-10-02T00:00:00"/>
    <n v="0"/>
    <x v="3"/>
    <s v="No"/>
    <x v="0"/>
    <n v="0"/>
    <s v="On Time"/>
    <x v="1"/>
    <n v="0"/>
    <x v="3"/>
    <n v="1"/>
  </r>
  <r>
    <s v="CUST_0402"/>
    <x v="1"/>
    <x v="1"/>
    <n v="40022"/>
    <n v="3300"/>
    <d v="2025-10-01T00:00:00"/>
    <d v="2025-11-30T00:00:00"/>
    <n v="60"/>
    <x v="1"/>
    <s v="No"/>
    <x v="0"/>
    <n v="1"/>
    <s v="Delayed"/>
    <x v="2"/>
    <n v="0"/>
    <x v="1"/>
    <n v="0"/>
  </r>
  <r>
    <s v="CUST_0403"/>
    <x v="0"/>
    <x v="1"/>
    <n v="72579"/>
    <n v="7300"/>
    <d v="2025-10-10T00:00:00"/>
    <d v="2025-10-10T00:00:00"/>
    <n v="0"/>
    <x v="1"/>
    <s v="No"/>
    <x v="4"/>
    <n v="0"/>
    <s v="On Time"/>
    <x v="1"/>
    <n v="0"/>
    <x v="0"/>
    <n v="1"/>
  </r>
  <r>
    <s v="CUST_0404"/>
    <x v="1"/>
    <x v="0"/>
    <n v="90316"/>
    <n v="15100"/>
    <d v="2025-10-21T00:00:00"/>
    <d v="2025-10-21T00:00:00"/>
    <n v="0"/>
    <x v="1"/>
    <s v="No"/>
    <x v="2"/>
    <n v="0"/>
    <s v="On Time"/>
    <x v="1"/>
    <n v="0"/>
    <x v="2"/>
    <n v="1"/>
  </r>
  <r>
    <s v="CUST_0405"/>
    <x v="0"/>
    <x v="1"/>
    <n v="48380"/>
    <n v="2700"/>
    <d v="2025-10-05T00:00:00"/>
    <d v="2025-10-08T00:00:00"/>
    <n v="3"/>
    <x v="0"/>
    <s v="Yes"/>
    <x v="7"/>
    <n v="1"/>
    <s v="Delayed"/>
    <x v="0"/>
    <n v="1"/>
    <x v="3"/>
    <n v="0"/>
  </r>
  <r>
    <s v="CUST_0406"/>
    <x v="1"/>
    <x v="0"/>
    <n v="22356"/>
    <n v="1000"/>
    <d v="2025-10-02T00:00:00"/>
    <d v="2025-10-02T00:00:00"/>
    <n v="0"/>
    <x v="1"/>
    <s v="Yes"/>
    <x v="5"/>
    <n v="0"/>
    <s v="On Time"/>
    <x v="1"/>
    <n v="1"/>
    <x v="1"/>
    <n v="1"/>
  </r>
  <r>
    <s v="CUST_0407"/>
    <x v="0"/>
    <x v="0"/>
    <n v="90326"/>
    <n v="5000"/>
    <d v="2025-10-22T00:00:00"/>
    <d v="2025-10-22T00:00:00"/>
    <n v="0"/>
    <x v="3"/>
    <s v="Yes"/>
    <x v="6"/>
    <n v="0"/>
    <s v="On Time"/>
    <x v="1"/>
    <n v="1"/>
    <x v="2"/>
    <n v="1"/>
  </r>
  <r>
    <s v="CUST_0408"/>
    <x v="2"/>
    <x v="1"/>
    <n v="40049"/>
    <n v="1700"/>
    <d v="2025-10-16T00:00:00"/>
    <d v="2025-10-16T00:00:00"/>
    <n v="0"/>
    <x v="3"/>
    <s v="Yes"/>
    <x v="9"/>
    <n v="0"/>
    <s v="On Time"/>
    <x v="1"/>
    <n v="1"/>
    <x v="1"/>
    <n v="1"/>
  </r>
  <r>
    <s v="CUST_0409"/>
    <x v="1"/>
    <x v="1"/>
    <n v="95717"/>
    <n v="9600"/>
    <d v="2025-10-25T00:00:00"/>
    <d v="2025-10-25T00:00:00"/>
    <n v="0"/>
    <x v="2"/>
    <s v="No"/>
    <x v="0"/>
    <n v="0"/>
    <s v="On Time"/>
    <x v="1"/>
    <n v="0"/>
    <x v="2"/>
    <n v="1"/>
  </r>
  <r>
    <s v="CUST_0410"/>
    <x v="2"/>
    <x v="1"/>
    <n v="36082"/>
    <n v="2000"/>
    <d v="2025-10-02T00:00:00"/>
    <d v="2025-10-02T00:00:00"/>
    <n v="0"/>
    <x v="2"/>
    <s v="Yes"/>
    <x v="1"/>
    <n v="0"/>
    <s v="On Time"/>
    <x v="1"/>
    <n v="1"/>
    <x v="1"/>
    <n v="1"/>
  </r>
  <r>
    <s v="CUST_0411"/>
    <x v="0"/>
    <x v="0"/>
    <n v="20661"/>
    <n v="2300"/>
    <d v="2025-10-10T00:00:00"/>
    <d v="2025-11-24T00:00:00"/>
    <n v="45"/>
    <x v="1"/>
    <s v="No"/>
    <x v="6"/>
    <n v="1"/>
    <s v="Delayed"/>
    <x v="2"/>
    <n v="0"/>
    <x v="1"/>
    <n v="0"/>
  </r>
  <r>
    <s v="CUST_0412"/>
    <x v="1"/>
    <x v="1"/>
    <n v="57412"/>
    <n v="2600"/>
    <d v="2025-10-02T00:00:00"/>
    <d v="2025-10-02T00:00:00"/>
    <n v="0"/>
    <x v="0"/>
    <s v="No"/>
    <x v="6"/>
    <n v="0"/>
    <s v="On Time"/>
    <x v="1"/>
    <n v="0"/>
    <x v="3"/>
    <n v="1"/>
  </r>
  <r>
    <s v="CUST_0413"/>
    <x v="1"/>
    <x v="0"/>
    <n v="22920"/>
    <n v="2900"/>
    <d v="2025-10-16T00:00:00"/>
    <d v="2025-10-23T00:00:00"/>
    <n v="7"/>
    <x v="3"/>
    <s v="No"/>
    <x v="9"/>
    <n v="1"/>
    <s v="Delayed"/>
    <x v="0"/>
    <n v="0"/>
    <x v="1"/>
    <n v="0"/>
  </r>
  <r>
    <s v="CUST_0414"/>
    <x v="0"/>
    <x v="1"/>
    <n v="80315"/>
    <n v="3700"/>
    <d v="2025-10-16T00:00:00"/>
    <d v="2025-10-23T00:00:00"/>
    <n v="7"/>
    <x v="2"/>
    <s v="No"/>
    <x v="2"/>
    <n v="1"/>
    <s v="Delayed"/>
    <x v="0"/>
    <n v="0"/>
    <x v="0"/>
    <n v="0"/>
  </r>
  <r>
    <s v="CUST_0415"/>
    <x v="0"/>
    <x v="0"/>
    <n v="99561"/>
    <n v="6200"/>
    <d v="2025-10-19T00:00:00"/>
    <d v="2025-11-18T00:00:00"/>
    <n v="30"/>
    <x v="1"/>
    <s v="No"/>
    <x v="9"/>
    <n v="1"/>
    <s v="Delayed"/>
    <x v="2"/>
    <n v="0"/>
    <x v="2"/>
    <n v="0"/>
  </r>
  <r>
    <s v="CUST_0416"/>
    <x v="0"/>
    <x v="1"/>
    <n v="28946"/>
    <n v="3200"/>
    <d v="2025-10-29T00:00:00"/>
    <d v="2025-10-29T00:00:00"/>
    <n v="0"/>
    <x v="2"/>
    <s v="Yes"/>
    <x v="7"/>
    <n v="0"/>
    <s v="On Time"/>
    <x v="1"/>
    <n v="1"/>
    <x v="1"/>
    <n v="1"/>
  </r>
  <r>
    <s v="CUST_0417"/>
    <x v="0"/>
    <x v="1"/>
    <n v="65500"/>
    <n v="9400"/>
    <d v="2025-10-07T00:00:00"/>
    <d v="2025-11-06T00:00:00"/>
    <n v="30"/>
    <x v="3"/>
    <s v="No"/>
    <x v="9"/>
    <n v="1"/>
    <s v="Delayed"/>
    <x v="2"/>
    <n v="0"/>
    <x v="0"/>
    <n v="0"/>
  </r>
  <r>
    <s v="CUST_0418"/>
    <x v="0"/>
    <x v="2"/>
    <n v="36309"/>
    <n v="1700"/>
    <d v="2025-10-22T00:00:00"/>
    <d v="2025-10-22T00:00:00"/>
    <n v="0"/>
    <x v="2"/>
    <s v="Yes"/>
    <x v="8"/>
    <n v="0"/>
    <s v="On Time"/>
    <x v="1"/>
    <n v="1"/>
    <x v="1"/>
    <n v="1"/>
  </r>
  <r>
    <s v="CUST_0419"/>
    <x v="0"/>
    <x v="0"/>
    <n v="75230"/>
    <n v="3300"/>
    <d v="2025-10-12T00:00:00"/>
    <d v="2025-10-15T00:00:00"/>
    <n v="3"/>
    <x v="3"/>
    <s v="No"/>
    <x v="1"/>
    <n v="1"/>
    <s v="Delayed"/>
    <x v="0"/>
    <n v="0"/>
    <x v="0"/>
    <n v="0"/>
  </r>
  <r>
    <s v="CUST_0420"/>
    <x v="1"/>
    <x v="1"/>
    <n v="50027"/>
    <n v="3800"/>
    <d v="2025-10-24T00:00:00"/>
    <d v="2025-10-27T00:00:00"/>
    <n v="3"/>
    <x v="0"/>
    <s v="No"/>
    <x v="0"/>
    <n v="1"/>
    <s v="Delayed"/>
    <x v="0"/>
    <n v="0"/>
    <x v="3"/>
    <n v="0"/>
  </r>
  <r>
    <s v="CUST_0421"/>
    <x v="1"/>
    <x v="0"/>
    <n v="92541"/>
    <n v="11600"/>
    <d v="2025-10-15T00:00:00"/>
    <d v="2025-10-30T00:00:00"/>
    <n v="15"/>
    <x v="3"/>
    <s v="Yes"/>
    <x v="5"/>
    <n v="1"/>
    <s v="Delayed"/>
    <x v="2"/>
    <n v="1"/>
    <x v="2"/>
    <n v="0"/>
  </r>
  <r>
    <s v="CUST_0422"/>
    <x v="1"/>
    <x v="1"/>
    <n v="79321"/>
    <n v="5700"/>
    <d v="2025-10-08T00:00:00"/>
    <d v="2025-10-08T00:00:00"/>
    <n v="0"/>
    <x v="2"/>
    <s v="Yes"/>
    <x v="7"/>
    <n v="0"/>
    <s v="On Time"/>
    <x v="1"/>
    <n v="1"/>
    <x v="0"/>
    <n v="1"/>
  </r>
  <r>
    <s v="CUST_0423"/>
    <x v="2"/>
    <x v="0"/>
    <n v="20956"/>
    <n v="1900"/>
    <d v="2025-10-06T00:00:00"/>
    <d v="2025-10-13T00:00:00"/>
    <n v="7"/>
    <x v="2"/>
    <s v="No"/>
    <x v="4"/>
    <n v="1"/>
    <s v="Delayed"/>
    <x v="0"/>
    <n v="0"/>
    <x v="1"/>
    <n v="0"/>
  </r>
  <r>
    <s v="CUST_0424"/>
    <x v="0"/>
    <x v="0"/>
    <n v="94131"/>
    <n v="6300"/>
    <d v="2025-10-28T00:00:00"/>
    <d v="2025-10-28T00:00:00"/>
    <n v="0"/>
    <x v="0"/>
    <s v="No"/>
    <x v="7"/>
    <n v="0"/>
    <s v="On Time"/>
    <x v="1"/>
    <n v="0"/>
    <x v="2"/>
    <n v="1"/>
  </r>
  <r>
    <s v="CUST_0425"/>
    <x v="2"/>
    <x v="1"/>
    <n v="67908"/>
    <n v="4500"/>
    <d v="2025-10-27T00:00:00"/>
    <d v="2025-11-03T00:00:00"/>
    <n v="7"/>
    <x v="3"/>
    <s v="No"/>
    <x v="9"/>
    <n v="1"/>
    <s v="Delayed"/>
    <x v="0"/>
    <n v="0"/>
    <x v="0"/>
    <n v="0"/>
  </r>
  <r>
    <s v="CUST_0426"/>
    <x v="0"/>
    <x v="1"/>
    <n v="98339"/>
    <n v="5500"/>
    <d v="2025-10-10T00:00:00"/>
    <d v="2025-12-09T00:00:00"/>
    <n v="60"/>
    <x v="3"/>
    <s v="No"/>
    <x v="3"/>
    <n v="1"/>
    <s v="Delayed"/>
    <x v="2"/>
    <n v="0"/>
    <x v="2"/>
    <n v="0"/>
  </r>
  <r>
    <s v="CUST_0427"/>
    <x v="0"/>
    <x v="1"/>
    <n v="45963"/>
    <n v="2100"/>
    <d v="2025-10-03T00:00:00"/>
    <d v="2025-10-03T00:00:00"/>
    <n v="0"/>
    <x v="3"/>
    <s v="Yes"/>
    <x v="0"/>
    <n v="0"/>
    <s v="On Time"/>
    <x v="1"/>
    <n v="1"/>
    <x v="3"/>
    <n v="1"/>
  </r>
  <r>
    <s v="CUST_0428"/>
    <x v="1"/>
    <x v="0"/>
    <n v="59443"/>
    <n v="4200"/>
    <d v="2025-10-19T00:00:00"/>
    <d v="2025-12-18T00:00:00"/>
    <n v="60"/>
    <x v="3"/>
    <s v="No"/>
    <x v="4"/>
    <n v="1"/>
    <s v="Delayed"/>
    <x v="2"/>
    <n v="0"/>
    <x v="3"/>
    <n v="0"/>
  </r>
  <r>
    <s v="CUST_0429"/>
    <x v="0"/>
    <x v="0"/>
    <n v="59063"/>
    <n v="2700"/>
    <d v="2025-10-17T00:00:00"/>
    <d v="2025-10-17T00:00:00"/>
    <n v="0"/>
    <x v="3"/>
    <s v="No"/>
    <x v="7"/>
    <n v="0"/>
    <s v="On Time"/>
    <x v="1"/>
    <n v="0"/>
    <x v="3"/>
    <n v="1"/>
  </r>
  <r>
    <s v="CUST_0430"/>
    <x v="2"/>
    <x v="1"/>
    <n v="24703"/>
    <n v="1800"/>
    <d v="2025-10-07T00:00:00"/>
    <d v="2025-10-07T00:00:00"/>
    <n v="0"/>
    <x v="1"/>
    <s v="No"/>
    <x v="3"/>
    <n v="0"/>
    <s v="On Time"/>
    <x v="1"/>
    <n v="0"/>
    <x v="1"/>
    <n v="1"/>
  </r>
  <r>
    <s v="CUST_0431"/>
    <x v="2"/>
    <x v="1"/>
    <n v="85128"/>
    <n v="6100"/>
    <d v="2025-10-21T00:00:00"/>
    <d v="2025-10-21T00:00:00"/>
    <n v="0"/>
    <x v="3"/>
    <s v="No"/>
    <x v="5"/>
    <n v="0"/>
    <s v="On Time"/>
    <x v="1"/>
    <n v="0"/>
    <x v="2"/>
    <n v="1"/>
  </r>
  <r>
    <s v="CUST_0432"/>
    <x v="1"/>
    <x v="0"/>
    <n v="92099"/>
    <n v="15300"/>
    <d v="2025-10-20T00:00:00"/>
    <d v="2025-10-20T00:00:00"/>
    <n v="0"/>
    <x v="3"/>
    <s v="No"/>
    <x v="2"/>
    <n v="0"/>
    <s v="On Time"/>
    <x v="1"/>
    <n v="0"/>
    <x v="2"/>
    <n v="1"/>
  </r>
  <r>
    <s v="CUST_0433"/>
    <x v="0"/>
    <x v="2"/>
    <n v="45849"/>
    <n v="6500"/>
    <d v="2025-10-26T00:00:00"/>
    <d v="2025-10-29T00:00:00"/>
    <n v="3"/>
    <x v="1"/>
    <s v="No"/>
    <x v="5"/>
    <n v="1"/>
    <s v="Delayed"/>
    <x v="0"/>
    <n v="0"/>
    <x v="3"/>
    <n v="0"/>
  </r>
  <r>
    <s v="CUST_0434"/>
    <x v="2"/>
    <x v="0"/>
    <n v="51860"/>
    <n v="2500"/>
    <d v="2025-10-04T00:00:00"/>
    <d v="2025-10-04T00:00:00"/>
    <n v="0"/>
    <x v="2"/>
    <s v="No"/>
    <x v="5"/>
    <n v="0"/>
    <s v="On Time"/>
    <x v="1"/>
    <n v="0"/>
    <x v="3"/>
    <n v="1"/>
  </r>
  <r>
    <s v="CUST_0435"/>
    <x v="2"/>
    <x v="1"/>
    <n v="51585"/>
    <n v="8600"/>
    <d v="2025-10-14T00:00:00"/>
    <d v="2025-10-14T00:00:00"/>
    <n v="0"/>
    <x v="2"/>
    <s v="Yes"/>
    <x v="9"/>
    <n v="0"/>
    <s v="On Time"/>
    <x v="1"/>
    <n v="1"/>
    <x v="3"/>
    <n v="1"/>
  </r>
  <r>
    <s v="CUST_0436"/>
    <x v="1"/>
    <x v="1"/>
    <n v="42015"/>
    <n v="2800"/>
    <d v="2025-10-20T00:00:00"/>
    <d v="2025-11-19T00:00:00"/>
    <n v="30"/>
    <x v="3"/>
    <s v="No"/>
    <x v="9"/>
    <n v="1"/>
    <s v="Delayed"/>
    <x v="2"/>
    <n v="0"/>
    <x v="1"/>
    <n v="0"/>
  </r>
  <r>
    <s v="CUST_0437"/>
    <x v="2"/>
    <x v="1"/>
    <n v="97539"/>
    <n v="4200"/>
    <d v="2025-10-22T00:00:00"/>
    <d v="2025-11-06T00:00:00"/>
    <n v="15"/>
    <x v="0"/>
    <s v="No"/>
    <x v="1"/>
    <n v="1"/>
    <s v="Delayed"/>
    <x v="2"/>
    <n v="0"/>
    <x v="2"/>
    <n v="0"/>
  </r>
  <r>
    <s v="CUST_0438"/>
    <x v="1"/>
    <x v="2"/>
    <n v="63585"/>
    <n v="4900"/>
    <d v="2025-10-15T00:00:00"/>
    <d v="2025-10-30T00:00:00"/>
    <n v="15"/>
    <x v="3"/>
    <s v="Yes"/>
    <x v="9"/>
    <n v="1"/>
    <s v="Delayed"/>
    <x v="2"/>
    <n v="1"/>
    <x v="0"/>
    <n v="0"/>
  </r>
  <r>
    <s v="CUST_0439"/>
    <x v="1"/>
    <x v="1"/>
    <n v="46958"/>
    <n v="2900"/>
    <d v="2025-10-24T00:00:00"/>
    <d v="2025-11-23T00:00:00"/>
    <n v="30"/>
    <x v="0"/>
    <s v="No"/>
    <x v="8"/>
    <n v="1"/>
    <s v="Delayed"/>
    <x v="2"/>
    <n v="0"/>
    <x v="3"/>
    <n v="0"/>
  </r>
  <r>
    <s v="CUST_0440"/>
    <x v="2"/>
    <x v="0"/>
    <n v="46017"/>
    <n v="6600"/>
    <d v="2025-10-08T00:00:00"/>
    <d v="2025-10-15T00:00:00"/>
    <n v="7"/>
    <x v="1"/>
    <s v="No"/>
    <x v="5"/>
    <n v="1"/>
    <s v="Delayed"/>
    <x v="0"/>
    <n v="0"/>
    <x v="3"/>
    <n v="0"/>
  </r>
  <r>
    <s v="CUST_0441"/>
    <x v="2"/>
    <x v="1"/>
    <n v="96707"/>
    <n v="7400"/>
    <d v="2025-10-21T00:00:00"/>
    <d v="2025-10-21T00:00:00"/>
    <n v="0"/>
    <x v="3"/>
    <s v="No"/>
    <x v="4"/>
    <n v="0"/>
    <s v="On Time"/>
    <x v="1"/>
    <n v="0"/>
    <x v="2"/>
    <n v="1"/>
  </r>
  <r>
    <s v="CUST_0442"/>
    <x v="1"/>
    <x v="0"/>
    <n v="65350"/>
    <n v="5000"/>
    <d v="2025-10-15T00:00:00"/>
    <d v="2025-10-15T00:00:00"/>
    <n v="0"/>
    <x v="0"/>
    <s v="Yes"/>
    <x v="8"/>
    <n v="0"/>
    <s v="On Time"/>
    <x v="1"/>
    <n v="1"/>
    <x v="0"/>
    <n v="1"/>
  </r>
  <r>
    <s v="CUST_0443"/>
    <x v="0"/>
    <x v="0"/>
    <n v="32201"/>
    <n v="1500"/>
    <d v="2025-10-22T00:00:00"/>
    <d v="2025-10-29T00:00:00"/>
    <n v="7"/>
    <x v="3"/>
    <s v="No"/>
    <x v="5"/>
    <n v="1"/>
    <s v="Delayed"/>
    <x v="0"/>
    <n v="0"/>
    <x v="1"/>
    <n v="0"/>
  </r>
  <r>
    <s v="CUST_0444"/>
    <x v="0"/>
    <x v="0"/>
    <n v="49426"/>
    <n v="2500"/>
    <d v="2025-10-20T00:00:00"/>
    <d v="2025-10-20T00:00:00"/>
    <n v="0"/>
    <x v="3"/>
    <s v="Yes"/>
    <x v="0"/>
    <n v="0"/>
    <s v="On Time"/>
    <x v="1"/>
    <n v="1"/>
    <x v="3"/>
    <n v="1"/>
  </r>
  <r>
    <s v="CUST_0445"/>
    <x v="1"/>
    <x v="1"/>
    <n v="37778"/>
    <n v="1700"/>
    <d v="2025-10-28T00:00:00"/>
    <d v="2025-10-31T00:00:00"/>
    <n v="3"/>
    <x v="1"/>
    <s v="No"/>
    <x v="3"/>
    <n v="1"/>
    <s v="Delayed"/>
    <x v="0"/>
    <n v="0"/>
    <x v="1"/>
    <n v="0"/>
  </r>
  <r>
    <s v="CUST_0446"/>
    <x v="1"/>
    <x v="1"/>
    <n v="65241"/>
    <n v="3600"/>
    <d v="2025-10-14T00:00:00"/>
    <d v="2025-10-14T00:00:00"/>
    <n v="0"/>
    <x v="1"/>
    <s v="Yes"/>
    <x v="5"/>
    <n v="0"/>
    <s v="On Time"/>
    <x v="1"/>
    <n v="1"/>
    <x v="0"/>
    <n v="1"/>
  </r>
  <r>
    <s v="CUST_0447"/>
    <x v="1"/>
    <x v="1"/>
    <n v="62229"/>
    <n v="6200"/>
    <d v="2025-10-27T00:00:00"/>
    <d v="2025-10-27T00:00:00"/>
    <n v="0"/>
    <x v="1"/>
    <s v="No"/>
    <x v="7"/>
    <n v="0"/>
    <s v="On Time"/>
    <x v="1"/>
    <n v="0"/>
    <x v="0"/>
    <n v="1"/>
  </r>
  <r>
    <s v="CUST_0448"/>
    <x v="1"/>
    <x v="2"/>
    <n v="68364"/>
    <n v="4000"/>
    <d v="2025-10-29T00:00:00"/>
    <d v="2025-10-29T00:00:00"/>
    <n v="0"/>
    <x v="3"/>
    <s v="No"/>
    <x v="8"/>
    <n v="0"/>
    <s v="On Time"/>
    <x v="1"/>
    <n v="0"/>
    <x v="0"/>
    <n v="1"/>
  </r>
  <r>
    <s v="CUST_0449"/>
    <x v="0"/>
    <x v="0"/>
    <n v="77056"/>
    <n v="12800"/>
    <d v="2025-10-09T00:00:00"/>
    <d v="2025-10-12T00:00:00"/>
    <n v="3"/>
    <x v="2"/>
    <s v="No"/>
    <x v="0"/>
    <n v="1"/>
    <s v="Delayed"/>
    <x v="0"/>
    <n v="0"/>
    <x v="0"/>
    <n v="0"/>
  </r>
  <r>
    <s v="CUST_0450"/>
    <x v="2"/>
    <x v="0"/>
    <n v="47490"/>
    <n v="4700"/>
    <d v="2025-10-08T00:00:00"/>
    <d v="2025-10-11T00:00:00"/>
    <n v="3"/>
    <x v="1"/>
    <s v="No"/>
    <x v="5"/>
    <n v="1"/>
    <s v="Delayed"/>
    <x v="0"/>
    <n v="0"/>
    <x v="3"/>
    <n v="0"/>
  </r>
  <r>
    <s v="CUST_0451"/>
    <x v="1"/>
    <x v="0"/>
    <n v="39975"/>
    <n v="3100"/>
    <d v="2025-10-26T00:00:00"/>
    <d v="2025-10-29T00:00:00"/>
    <n v="3"/>
    <x v="3"/>
    <s v="No"/>
    <x v="4"/>
    <n v="1"/>
    <s v="Delayed"/>
    <x v="0"/>
    <n v="0"/>
    <x v="1"/>
    <n v="0"/>
  </r>
  <r>
    <s v="CUST_0452"/>
    <x v="0"/>
    <x v="0"/>
    <n v="46723"/>
    <n v="2600"/>
    <d v="2025-10-28T00:00:00"/>
    <d v="2025-10-28T00:00:00"/>
    <n v="0"/>
    <x v="3"/>
    <s v="No"/>
    <x v="5"/>
    <n v="0"/>
    <s v="On Time"/>
    <x v="1"/>
    <n v="0"/>
    <x v="3"/>
    <n v="1"/>
  </r>
  <r>
    <s v="CUST_0453"/>
    <x v="0"/>
    <x v="1"/>
    <n v="43279"/>
    <n v="3300"/>
    <d v="2025-10-26T00:00:00"/>
    <d v="2025-10-26T00:00:00"/>
    <n v="0"/>
    <x v="3"/>
    <s v="Yes"/>
    <x v="1"/>
    <n v="0"/>
    <s v="On Time"/>
    <x v="1"/>
    <n v="1"/>
    <x v="3"/>
    <n v="1"/>
  </r>
  <r>
    <s v="CUST_0454"/>
    <x v="1"/>
    <x v="2"/>
    <n v="98301"/>
    <n v="6100"/>
    <d v="2025-10-17T00:00:00"/>
    <d v="2025-11-01T00:00:00"/>
    <n v="15"/>
    <x v="3"/>
    <s v="No"/>
    <x v="5"/>
    <n v="1"/>
    <s v="Delayed"/>
    <x v="2"/>
    <n v="0"/>
    <x v="2"/>
    <n v="0"/>
  </r>
  <r>
    <s v="CUST_0455"/>
    <x v="2"/>
    <x v="1"/>
    <n v="31561"/>
    <n v="5300"/>
    <d v="2025-10-02T00:00:00"/>
    <d v="2025-10-05T00:00:00"/>
    <n v="3"/>
    <x v="0"/>
    <s v="Yes"/>
    <x v="5"/>
    <n v="1"/>
    <s v="Delayed"/>
    <x v="0"/>
    <n v="1"/>
    <x v="1"/>
    <n v="0"/>
  </r>
  <r>
    <s v="CUST_0456"/>
    <x v="0"/>
    <x v="1"/>
    <n v="86061"/>
    <n v="4800"/>
    <d v="2025-10-25T00:00:00"/>
    <d v="2025-10-25T00:00:00"/>
    <n v="0"/>
    <x v="2"/>
    <s v="No"/>
    <x v="4"/>
    <n v="0"/>
    <s v="On Time"/>
    <x v="1"/>
    <n v="0"/>
    <x v="2"/>
    <n v="1"/>
  </r>
  <r>
    <s v="CUST_0457"/>
    <x v="2"/>
    <x v="0"/>
    <n v="69153"/>
    <n v="8600"/>
    <d v="2025-10-24T00:00:00"/>
    <d v="2025-11-08T00:00:00"/>
    <n v="15"/>
    <x v="0"/>
    <s v="Yes"/>
    <x v="9"/>
    <n v="1"/>
    <s v="Delayed"/>
    <x v="2"/>
    <n v="1"/>
    <x v="0"/>
    <n v="0"/>
  </r>
  <r>
    <s v="CUST_0458"/>
    <x v="0"/>
    <x v="1"/>
    <n v="53142"/>
    <n v="2400"/>
    <d v="2025-10-30T00:00:00"/>
    <d v="2025-10-30T00:00:00"/>
    <n v="0"/>
    <x v="2"/>
    <s v="No"/>
    <x v="5"/>
    <n v="0"/>
    <s v="On Time"/>
    <x v="1"/>
    <n v="0"/>
    <x v="3"/>
    <n v="1"/>
  </r>
  <r>
    <s v="CUST_0459"/>
    <x v="2"/>
    <x v="1"/>
    <n v="46916"/>
    <n v="4700"/>
    <d v="2025-10-03T00:00:00"/>
    <d v="2025-10-03T00:00:00"/>
    <n v="0"/>
    <x v="1"/>
    <s v="No"/>
    <x v="4"/>
    <n v="0"/>
    <s v="On Time"/>
    <x v="1"/>
    <n v="0"/>
    <x v="3"/>
    <n v="1"/>
  </r>
  <r>
    <s v="CUST_0460"/>
    <x v="2"/>
    <x v="0"/>
    <n v="84324"/>
    <n v="6500"/>
    <d v="2025-10-08T00:00:00"/>
    <d v="2025-10-08T00:00:00"/>
    <n v="0"/>
    <x v="3"/>
    <s v="No"/>
    <x v="7"/>
    <n v="0"/>
    <s v="On Time"/>
    <x v="1"/>
    <n v="0"/>
    <x v="2"/>
    <n v="1"/>
  </r>
  <r>
    <s v="CUST_0461"/>
    <x v="2"/>
    <x v="1"/>
    <n v="64965"/>
    <n v="3400"/>
    <d v="2025-10-12T00:00:00"/>
    <d v="2025-10-19T00:00:00"/>
    <n v="7"/>
    <x v="2"/>
    <s v="Yes"/>
    <x v="8"/>
    <n v="1"/>
    <s v="Delayed"/>
    <x v="0"/>
    <n v="1"/>
    <x v="0"/>
    <n v="0"/>
  </r>
  <r>
    <s v="CUST_0462"/>
    <x v="0"/>
    <x v="0"/>
    <n v="24648"/>
    <n v="2700"/>
    <d v="2025-10-01T00:00:00"/>
    <d v="2025-10-04T00:00:00"/>
    <n v="3"/>
    <x v="3"/>
    <s v="No"/>
    <x v="6"/>
    <n v="1"/>
    <s v="Delayed"/>
    <x v="0"/>
    <n v="0"/>
    <x v="1"/>
    <n v="0"/>
  </r>
  <r>
    <s v="CUST_0463"/>
    <x v="1"/>
    <x v="1"/>
    <n v="55133"/>
    <n v="3400"/>
    <d v="2025-10-10T00:00:00"/>
    <d v="2025-10-10T00:00:00"/>
    <n v="0"/>
    <x v="3"/>
    <s v="No"/>
    <x v="3"/>
    <n v="0"/>
    <s v="On Time"/>
    <x v="1"/>
    <n v="0"/>
    <x v="3"/>
    <n v="1"/>
  </r>
  <r>
    <s v="CUST_0464"/>
    <x v="0"/>
    <x v="1"/>
    <n v="70677"/>
    <n v="3500"/>
    <d v="2025-10-20T00:00:00"/>
    <d v="2025-11-04T00:00:00"/>
    <n v="15"/>
    <x v="2"/>
    <s v="No"/>
    <x v="7"/>
    <n v="1"/>
    <s v="Delayed"/>
    <x v="2"/>
    <n v="0"/>
    <x v="0"/>
    <n v="0"/>
  </r>
  <r>
    <s v="CUST_0465"/>
    <x v="1"/>
    <x v="1"/>
    <n v="90135"/>
    <n v="7500"/>
    <d v="2025-10-03T00:00:00"/>
    <d v="2025-10-03T00:00:00"/>
    <n v="0"/>
    <x v="0"/>
    <s v="No"/>
    <x v="3"/>
    <n v="0"/>
    <s v="On Time"/>
    <x v="1"/>
    <n v="0"/>
    <x v="2"/>
    <n v="1"/>
  </r>
  <r>
    <s v="CUST_0466"/>
    <x v="0"/>
    <x v="1"/>
    <n v="55046"/>
    <n v="3400"/>
    <d v="2025-10-06T00:00:00"/>
    <d v="2025-10-06T00:00:00"/>
    <n v="0"/>
    <x v="1"/>
    <s v="No"/>
    <x v="6"/>
    <n v="0"/>
    <s v="On Time"/>
    <x v="1"/>
    <n v="0"/>
    <x v="3"/>
    <n v="1"/>
  </r>
  <r>
    <s v="CUST_0467"/>
    <x v="0"/>
    <x v="0"/>
    <n v="67064"/>
    <n v="6700"/>
    <d v="2025-10-07T00:00:00"/>
    <d v="2025-10-07T00:00:00"/>
    <n v="0"/>
    <x v="3"/>
    <s v="No"/>
    <x v="0"/>
    <n v="0"/>
    <s v="On Time"/>
    <x v="1"/>
    <n v="0"/>
    <x v="0"/>
    <n v="1"/>
  </r>
  <r>
    <s v="CUST_0468"/>
    <x v="1"/>
    <x v="1"/>
    <n v="89350"/>
    <n v="8900"/>
    <d v="2025-10-20T00:00:00"/>
    <d v="2025-10-20T00:00:00"/>
    <n v="0"/>
    <x v="3"/>
    <s v="No"/>
    <x v="4"/>
    <n v="0"/>
    <s v="On Time"/>
    <x v="1"/>
    <n v="0"/>
    <x v="2"/>
    <n v="1"/>
  </r>
  <r>
    <s v="CUST_0469"/>
    <x v="0"/>
    <x v="0"/>
    <n v="65893"/>
    <n v="5100"/>
    <d v="2025-10-23T00:00:00"/>
    <d v="2025-10-23T00:00:00"/>
    <n v="0"/>
    <x v="3"/>
    <s v="No"/>
    <x v="0"/>
    <n v="0"/>
    <s v="On Time"/>
    <x v="1"/>
    <n v="0"/>
    <x v="0"/>
    <n v="1"/>
  </r>
  <r>
    <s v="CUST_0470"/>
    <x v="1"/>
    <x v="1"/>
    <n v="81272"/>
    <n v="5400"/>
    <d v="2025-10-25T00:00:00"/>
    <d v="2025-10-28T00:00:00"/>
    <n v="3"/>
    <x v="2"/>
    <s v="No"/>
    <x v="2"/>
    <n v="1"/>
    <s v="Delayed"/>
    <x v="0"/>
    <n v="0"/>
    <x v="2"/>
    <n v="0"/>
  </r>
  <r>
    <s v="CUST_0471"/>
    <x v="2"/>
    <x v="0"/>
    <n v="87649"/>
    <n v="8000"/>
    <d v="2025-10-27T00:00:00"/>
    <d v="2025-11-11T00:00:00"/>
    <n v="15"/>
    <x v="1"/>
    <s v="Yes"/>
    <x v="8"/>
    <n v="1"/>
    <s v="Delayed"/>
    <x v="2"/>
    <n v="1"/>
    <x v="2"/>
    <n v="0"/>
  </r>
  <r>
    <s v="CUST_0472"/>
    <x v="1"/>
    <x v="2"/>
    <n v="84674"/>
    <n v="4200"/>
    <d v="2025-10-18T00:00:00"/>
    <d v="2025-10-18T00:00:00"/>
    <n v="0"/>
    <x v="0"/>
    <s v="Yes"/>
    <x v="2"/>
    <n v="0"/>
    <s v="On Time"/>
    <x v="1"/>
    <n v="1"/>
    <x v="2"/>
    <n v="1"/>
  </r>
  <r>
    <s v="CUST_0473"/>
    <x v="2"/>
    <x v="0"/>
    <n v="33760"/>
    <n v="1600"/>
    <d v="2025-10-11T00:00:00"/>
    <d v="2025-10-11T00:00:00"/>
    <n v="0"/>
    <x v="3"/>
    <s v="Yes"/>
    <x v="5"/>
    <n v="0"/>
    <s v="On Time"/>
    <x v="1"/>
    <n v="1"/>
    <x v="1"/>
    <n v="1"/>
  </r>
  <r>
    <s v="CUST_0474"/>
    <x v="1"/>
    <x v="1"/>
    <n v="41927"/>
    <n v="1900"/>
    <d v="2025-10-19T00:00:00"/>
    <d v="2025-10-19T00:00:00"/>
    <n v="0"/>
    <x v="2"/>
    <s v="Yes"/>
    <x v="2"/>
    <n v="0"/>
    <s v="On Time"/>
    <x v="1"/>
    <n v="1"/>
    <x v="1"/>
    <n v="1"/>
  </r>
  <r>
    <s v="CUST_0475"/>
    <x v="0"/>
    <x v="1"/>
    <n v="81367"/>
    <n v="6300"/>
    <d v="2025-10-05T00:00:00"/>
    <d v="2025-10-05T00:00:00"/>
    <n v="0"/>
    <x v="2"/>
    <s v="No"/>
    <x v="5"/>
    <n v="0"/>
    <s v="On Time"/>
    <x v="1"/>
    <n v="0"/>
    <x v="2"/>
    <n v="1"/>
  </r>
  <r>
    <s v="CUST_0476"/>
    <x v="1"/>
    <x v="1"/>
    <n v="32588"/>
    <n v="2500"/>
    <d v="2025-10-19T00:00:00"/>
    <d v="2025-10-19T00:00:00"/>
    <n v="0"/>
    <x v="1"/>
    <s v="No"/>
    <x v="6"/>
    <n v="0"/>
    <s v="On Time"/>
    <x v="1"/>
    <n v="0"/>
    <x v="1"/>
    <n v="1"/>
  </r>
  <r>
    <s v="CUST_0477"/>
    <x v="2"/>
    <x v="0"/>
    <n v="72233"/>
    <n v="5200"/>
    <d v="2025-10-11T00:00:00"/>
    <d v="2025-10-18T00:00:00"/>
    <n v="7"/>
    <x v="2"/>
    <s v="Yes"/>
    <x v="2"/>
    <n v="1"/>
    <s v="Delayed"/>
    <x v="0"/>
    <n v="1"/>
    <x v="0"/>
    <n v="0"/>
  </r>
  <r>
    <s v="CUST_0478"/>
    <x v="0"/>
    <x v="1"/>
    <n v="64738"/>
    <n v="9200"/>
    <d v="2025-10-24T00:00:00"/>
    <d v="2025-10-24T00:00:00"/>
    <n v="0"/>
    <x v="1"/>
    <s v="No"/>
    <x v="0"/>
    <n v="0"/>
    <s v="On Time"/>
    <x v="1"/>
    <n v="0"/>
    <x v="0"/>
    <n v="1"/>
  </r>
  <r>
    <s v="CUST_0479"/>
    <x v="1"/>
    <x v="1"/>
    <n v="53397"/>
    <n v="2700"/>
    <d v="2025-10-12T00:00:00"/>
    <d v="2025-10-19T00:00:00"/>
    <n v="7"/>
    <x v="1"/>
    <s v="Yes"/>
    <x v="6"/>
    <n v="1"/>
    <s v="Delayed"/>
    <x v="0"/>
    <n v="1"/>
    <x v="3"/>
    <n v="0"/>
  </r>
  <r>
    <s v="CUST_0480"/>
    <x v="0"/>
    <x v="0"/>
    <n v="96367"/>
    <n v="4200"/>
    <d v="2025-10-10T00:00:00"/>
    <d v="2025-10-25T00:00:00"/>
    <n v="15"/>
    <x v="3"/>
    <s v="No"/>
    <x v="4"/>
    <n v="1"/>
    <s v="Delayed"/>
    <x v="2"/>
    <n v="0"/>
    <x v="2"/>
    <n v="0"/>
  </r>
  <r>
    <s v="CUST_0481"/>
    <x v="0"/>
    <x v="1"/>
    <n v="91260"/>
    <n v="11400"/>
    <d v="2025-10-08T00:00:00"/>
    <d v="2025-10-08T00:00:00"/>
    <n v="0"/>
    <x v="1"/>
    <s v="No"/>
    <x v="0"/>
    <n v="0"/>
    <s v="On Time"/>
    <x v="1"/>
    <n v="0"/>
    <x v="2"/>
    <n v="1"/>
  </r>
  <r>
    <s v="CUST_0482"/>
    <x v="0"/>
    <x v="0"/>
    <n v="96619"/>
    <n v="4400"/>
    <d v="2025-10-24T00:00:00"/>
    <d v="2025-11-08T00:00:00"/>
    <n v="15"/>
    <x v="3"/>
    <s v="No"/>
    <x v="2"/>
    <n v="1"/>
    <s v="Delayed"/>
    <x v="2"/>
    <n v="0"/>
    <x v="2"/>
    <n v="0"/>
  </r>
  <r>
    <s v="CUST_0483"/>
    <x v="0"/>
    <x v="1"/>
    <n v="39816"/>
    <n v="4400"/>
    <d v="2025-10-28T00:00:00"/>
    <d v="2025-10-31T00:00:00"/>
    <n v="3"/>
    <x v="1"/>
    <s v="Yes"/>
    <x v="9"/>
    <n v="1"/>
    <s v="Delayed"/>
    <x v="0"/>
    <n v="1"/>
    <x v="1"/>
    <n v="0"/>
  </r>
  <r>
    <s v="CUST_0484"/>
    <x v="0"/>
    <x v="1"/>
    <n v="62240"/>
    <n v="6900"/>
    <d v="2025-10-28T00:00:00"/>
    <d v="2025-10-31T00:00:00"/>
    <n v="3"/>
    <x v="2"/>
    <s v="No"/>
    <x v="7"/>
    <n v="1"/>
    <s v="Delayed"/>
    <x v="0"/>
    <n v="0"/>
    <x v="0"/>
    <n v="0"/>
  </r>
  <r>
    <s v="CUST_0485"/>
    <x v="0"/>
    <x v="0"/>
    <n v="26276"/>
    <n v="1400"/>
    <d v="2025-10-09T00:00:00"/>
    <d v="2025-10-09T00:00:00"/>
    <n v="0"/>
    <x v="2"/>
    <s v="No"/>
    <x v="5"/>
    <n v="0"/>
    <s v="On Time"/>
    <x v="1"/>
    <n v="0"/>
    <x v="1"/>
    <n v="1"/>
  </r>
  <r>
    <s v="CUST_0486"/>
    <x v="1"/>
    <x v="1"/>
    <n v="99530"/>
    <n v="7100"/>
    <d v="2025-10-04T00:00:00"/>
    <d v="2025-10-04T00:00:00"/>
    <n v="0"/>
    <x v="0"/>
    <s v="No"/>
    <x v="0"/>
    <n v="0"/>
    <s v="On Time"/>
    <x v="1"/>
    <n v="0"/>
    <x v="2"/>
    <n v="1"/>
  </r>
  <r>
    <s v="CUST_0487"/>
    <x v="2"/>
    <x v="0"/>
    <n v="43499"/>
    <n v="3100"/>
    <d v="2025-10-05T00:00:00"/>
    <d v="2025-10-05T00:00:00"/>
    <n v="0"/>
    <x v="0"/>
    <s v="No"/>
    <x v="3"/>
    <n v="0"/>
    <s v="On Time"/>
    <x v="1"/>
    <n v="0"/>
    <x v="3"/>
    <n v="1"/>
  </r>
  <r>
    <s v="CUST_0488"/>
    <x v="0"/>
    <x v="1"/>
    <n v="91635"/>
    <n v="4000"/>
    <d v="2025-10-21T00:00:00"/>
    <d v="2025-10-21T00:00:00"/>
    <n v="0"/>
    <x v="1"/>
    <s v="No"/>
    <x v="5"/>
    <n v="0"/>
    <s v="On Time"/>
    <x v="1"/>
    <n v="0"/>
    <x v="2"/>
    <n v="1"/>
  </r>
  <r>
    <s v="CUST_0489"/>
    <x v="1"/>
    <x v="1"/>
    <n v="55946"/>
    <n v="3700"/>
    <d v="2025-10-08T00:00:00"/>
    <d v="2025-10-08T00:00:00"/>
    <n v="0"/>
    <x v="2"/>
    <s v="Yes"/>
    <x v="5"/>
    <n v="0"/>
    <s v="On Time"/>
    <x v="1"/>
    <n v="1"/>
    <x v="3"/>
    <n v="1"/>
  </r>
  <r>
    <s v="CUST_0490"/>
    <x v="1"/>
    <x v="0"/>
    <n v="75204"/>
    <n v="8400"/>
    <d v="2025-10-23T00:00:00"/>
    <d v="2025-10-26T00:00:00"/>
    <n v="3"/>
    <x v="1"/>
    <s v="No"/>
    <x v="0"/>
    <n v="1"/>
    <s v="Delayed"/>
    <x v="0"/>
    <n v="0"/>
    <x v="0"/>
    <n v="0"/>
  </r>
  <r>
    <s v="CUST_0491"/>
    <x v="0"/>
    <x v="0"/>
    <n v="71886"/>
    <n v="4200"/>
    <d v="2025-10-09T00:00:00"/>
    <d v="2025-10-09T00:00:00"/>
    <n v="0"/>
    <x v="2"/>
    <s v="No"/>
    <x v="6"/>
    <n v="0"/>
    <s v="On Time"/>
    <x v="1"/>
    <n v="0"/>
    <x v="0"/>
    <n v="1"/>
  </r>
  <r>
    <s v="CUST_0492"/>
    <x v="0"/>
    <x v="0"/>
    <n v="91652"/>
    <n v="7100"/>
    <d v="2025-10-15T00:00:00"/>
    <d v="2025-11-14T00:00:00"/>
    <n v="30"/>
    <x v="0"/>
    <s v="No"/>
    <x v="2"/>
    <n v="1"/>
    <s v="Delayed"/>
    <x v="2"/>
    <n v="0"/>
    <x v="2"/>
    <n v="0"/>
  </r>
  <r>
    <s v="CUST_0493"/>
    <x v="0"/>
    <x v="1"/>
    <n v="35563"/>
    <n v="5100"/>
    <d v="2025-10-15T00:00:00"/>
    <d v="2025-10-22T00:00:00"/>
    <n v="7"/>
    <x v="2"/>
    <s v="Yes"/>
    <x v="9"/>
    <n v="1"/>
    <s v="Delayed"/>
    <x v="0"/>
    <n v="1"/>
    <x v="1"/>
    <n v="0"/>
  </r>
  <r>
    <s v="CUST_0494"/>
    <x v="2"/>
    <x v="0"/>
    <n v="29847"/>
    <n v="1700"/>
    <d v="2025-10-16T00:00:00"/>
    <d v="2025-10-16T00:00:00"/>
    <n v="0"/>
    <x v="0"/>
    <s v="No"/>
    <x v="3"/>
    <n v="0"/>
    <s v="On Time"/>
    <x v="1"/>
    <n v="0"/>
    <x v="1"/>
    <n v="1"/>
  </r>
  <r>
    <s v="CUST_0495"/>
    <x v="0"/>
    <x v="1"/>
    <n v="46155"/>
    <n v="2200"/>
    <d v="2025-10-14T00:00:00"/>
    <d v="2025-10-14T00:00:00"/>
    <n v="0"/>
    <x v="0"/>
    <s v="No"/>
    <x v="3"/>
    <n v="0"/>
    <s v="On Time"/>
    <x v="1"/>
    <n v="0"/>
    <x v="3"/>
    <n v="1"/>
  </r>
  <r>
    <s v="CUST_0496"/>
    <x v="0"/>
    <x v="1"/>
    <n v="99671"/>
    <n v="14200"/>
    <d v="2025-10-08T00:00:00"/>
    <d v="2025-11-07T00:00:00"/>
    <n v="30"/>
    <x v="1"/>
    <s v="No"/>
    <x v="7"/>
    <n v="1"/>
    <s v="Delayed"/>
    <x v="2"/>
    <n v="0"/>
    <x v="2"/>
    <n v="0"/>
  </r>
  <r>
    <s v="CUST_0497"/>
    <x v="0"/>
    <x v="2"/>
    <n v="87278"/>
    <n v="5500"/>
    <d v="2025-10-18T00:00:00"/>
    <d v="2025-11-02T00:00:00"/>
    <n v="15"/>
    <x v="3"/>
    <s v="No"/>
    <x v="5"/>
    <n v="1"/>
    <s v="Delayed"/>
    <x v="2"/>
    <n v="0"/>
    <x v="2"/>
    <n v="0"/>
  </r>
  <r>
    <s v="CUST_0498"/>
    <x v="2"/>
    <x v="1"/>
    <n v="38309"/>
    <n v="2600"/>
    <d v="2025-10-10T00:00:00"/>
    <d v="2025-10-17T00:00:00"/>
    <n v="7"/>
    <x v="3"/>
    <s v="No"/>
    <x v="6"/>
    <n v="1"/>
    <s v="Delayed"/>
    <x v="0"/>
    <n v="0"/>
    <x v="1"/>
    <n v="0"/>
  </r>
  <r>
    <s v="CUST_0499"/>
    <x v="1"/>
    <x v="2"/>
    <n v="20619"/>
    <n v="1000"/>
    <d v="2025-10-28T00:00:00"/>
    <d v="2025-10-28T00:00:00"/>
    <n v="0"/>
    <x v="0"/>
    <s v="Yes"/>
    <x v="1"/>
    <n v="0"/>
    <s v="On Time"/>
    <x v="1"/>
    <n v="1"/>
    <x v="1"/>
    <n v="1"/>
  </r>
  <r>
    <s v="CUST_0500"/>
    <x v="1"/>
    <x v="1"/>
    <n v="70108"/>
    <n v="3200"/>
    <d v="2025-10-20T00:00:00"/>
    <d v="2025-10-20T00:00:00"/>
    <n v="0"/>
    <x v="3"/>
    <s v="No"/>
    <x v="5"/>
    <n v="0"/>
    <s v="On Time"/>
    <x v="1"/>
    <n v="0"/>
    <x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85B0E4-204D-4C58-8D7F-EBF4A2B03352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ity Tier" colHeaderCaption="Income Bracket">
  <location ref="A1:I7" firstHeaderRow="1" firstDataRow="3" firstDataCol="1"/>
  <pivotFields count="13">
    <pivotField showAll="0"/>
    <pivotField axis="axisRow" showAll="0">
      <items count="4">
        <item x="2"/>
        <item x="0"/>
        <item x="1"/>
        <item t="default"/>
      </items>
    </pivotField>
    <pivotField axis="axisCol" showAll="0">
      <items count="4">
        <item x="2"/>
        <item x="0"/>
        <item x="1"/>
        <item t="default"/>
      </items>
    </pivotField>
    <pivotField showAll="0"/>
    <pivotField showAll="0"/>
    <pivotField numFmtId="14" showAll="0"/>
    <pivotField numFmtId="14" showAll="0"/>
    <pivotField dataField="1" showAll="0"/>
    <pivotField showAll="0"/>
    <pivotField showAll="0"/>
    <pivotField showAll="0"/>
    <pivotField dataField="1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Average of days_past_due" fld="7" subtotal="average" baseField="1" baseItem="0" numFmtId="2"/>
    <dataField name="% of People Delay" fld="11" subtotal="average" baseField="1" baseItem="0" numFmtId="10"/>
  </dataFields>
  <formats count="2">
    <format dxfId="68">
      <pivotArea type="all" dataOnly="0" outline="0" fieldPosition="0"/>
    </format>
    <format dxfId="67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A1B2D-748D-418C-8917-14E4A267D3F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evious Delinquency">
  <location ref="A11:C14" firstHeaderRow="0" firstDataRow="1" firstDataCol="1"/>
  <pivotFields count="13">
    <pivotField showAll="0"/>
    <pivotField showAll="0"/>
    <pivotField showAll="0"/>
    <pivotField showAll="0"/>
    <pivotField showAll="0"/>
    <pivotField numFmtId="14" showAll="0"/>
    <pivotField numFmtId="14" showAll="0"/>
    <pivotField dataField="1" showAll="0"/>
    <pivotField showAll="0"/>
    <pivotField axis="axisRow" showAll="0">
      <items count="3">
        <item x="1"/>
        <item x="0"/>
        <item t="default"/>
      </items>
    </pivotField>
    <pivotField showAll="0"/>
    <pivotField dataField="1" showAll="0"/>
    <pivotField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days_past_due" fld="7" subtotal="average" baseField="9" baseItem="0" numFmtId="2"/>
    <dataField name="% People Delay" fld="11" subtotal="average" baseField="9" baseItem="0" numFmtId="10"/>
  </dataFields>
  <formats count="7"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9" type="button" dataOnly="0" labelOnly="1" outline="0" axis="axisRow" fieldPosition="0"/>
    </format>
    <format dxfId="72">
      <pivotArea dataOnly="0" labelOnly="1" fieldPosition="0">
        <references count="1">
          <reference field="9" count="0"/>
        </references>
      </pivotArea>
    </format>
    <format dxfId="71">
      <pivotArea dataOnly="0" labelOnly="1" grandRow="1" outline="0" fieldPosition="0"/>
    </format>
    <format dxfId="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9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F94898-5BD1-488A-B091-F8E971689D0E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hannels" colHeaderCaption="City Tier">
  <location ref="A29:N52" firstHeaderRow="1" firstDataRow="3" firstDataCol="1"/>
  <pivotFields count="17">
    <pivotField showAll="0"/>
    <pivotField axis="axisCol" showAll="0">
      <items count="4">
        <item x="2"/>
        <item x="0"/>
        <item x="1"/>
        <item t="default"/>
      </items>
    </pivotField>
    <pivotField axis="axisCol" showAll="0">
      <items count="4">
        <item x="2"/>
        <item x="1"/>
        <item x="0"/>
        <item t="default"/>
      </items>
    </pivotField>
    <pivotField showAll="0"/>
    <pivotField showAll="0"/>
    <pivotField numFmtId="14" showAll="0"/>
    <pivotField numFmtId="14"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3"/>
        <item x="2"/>
        <item t="default"/>
      </items>
    </pivotField>
    <pivotField dataField="1" showAll="0"/>
  </pivotFields>
  <rowFields count="2">
    <field x="8"/>
    <field x="15"/>
  </rowFields>
  <rowItems count="21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>
      <x v="3"/>
    </i>
    <i r="1">
      <x/>
    </i>
    <i r="1">
      <x v="1"/>
    </i>
    <i r="1">
      <x v="2"/>
    </i>
    <i r="1">
      <x v="3"/>
    </i>
    <i t="grand">
      <x/>
    </i>
  </rowItems>
  <colFields count="2">
    <field x="1"/>
    <field x="2"/>
  </colFields>
  <colItems count="13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t="default">
      <x v="1"/>
    </i>
    <i>
      <x v="2"/>
      <x/>
    </i>
    <i r="1">
      <x v="1"/>
    </i>
    <i r="1">
      <x v="2"/>
    </i>
    <i t="default">
      <x v="2"/>
    </i>
    <i t="grand">
      <x/>
    </i>
  </colItems>
  <dataFields count="1">
    <dataField name="% of People On-Time" fld="16" subtotal="average" baseField="8" baseItem="0" numFmtId="10"/>
  </dataFields>
  <formats count="1">
    <format dxfId="0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43D0BB-60E8-480C-AC3D-6834D426E3F1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Channel Categories">
  <location ref="A1:D6" firstHeaderRow="0" firstDataRow="1" firstDataCol="1"/>
  <pivotFields count="13">
    <pivotField dataField="1" showAll="0"/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4" showAll="0"/>
    <pivotField numFmtId="14" showAll="0"/>
    <pivotField dataField="1"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dataField="1" showAll="0"/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g Delay" fld="7" subtotal="average" baseField="8" baseItem="0" numFmtId="2"/>
    <dataField name="% of People Delayed" fld="11" subtotal="average" baseField="8" baseItem="0" numFmtId="10"/>
    <dataField name="Customer count/channel" fld="0" subtotal="count" baseField="0" baseItem="0"/>
  </dataFields>
  <formats count="6">
    <format dxfId="46">
      <pivotArea type="all" dataOnly="0" outline="0" fieldPosition="0"/>
    </format>
    <format dxfId="45">
      <pivotArea outline="0" collapsedLevelsAreSubtotals="1" fieldPosition="0"/>
    </format>
    <format dxfId="44">
      <pivotArea field="8" type="button" dataOnly="0" labelOnly="1" outline="0" axis="axisRow" fieldPosition="0"/>
    </format>
    <format dxfId="43">
      <pivotArea dataOnly="0" labelOnly="1" fieldPosition="0">
        <references count="1">
          <reference field="8" count="0"/>
        </references>
      </pivotArea>
    </format>
    <format dxfId="42">
      <pivotArea dataOnly="0" labelOnly="1" grandRow="1" outline="0" fieldPosition="0"/>
    </format>
    <format dxfId="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2D77BA-377E-4CE3-BD2C-868F5E16263E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Channels" colHeaderCaption="City Tier">
  <location ref="A19:E25" firstHeaderRow="1" firstDataRow="2" firstDataCol="1"/>
  <pivotFields count="13">
    <pivotField showAll="0"/>
    <pivotField axis="axisCol"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4" showAll="0"/>
    <pivotField numFmtId="14"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dataField="1" showAll="0"/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% of People Delayed" fld="11" subtotal="average" baseField="8" baseItem="2" numFmtId="10"/>
  </dataFields>
  <formats count="10">
    <format dxfId="56">
      <pivotArea type="all" dataOnly="0" outline="0" fieldPosition="0"/>
    </format>
    <format dxfId="55">
      <pivotArea outline="0" collapsedLevelsAreSubtotals="1" fieldPosition="0"/>
    </format>
    <format dxfId="54">
      <pivotArea type="origin" dataOnly="0" labelOnly="1" outline="0" fieldPosition="0"/>
    </format>
    <format dxfId="53">
      <pivotArea field="1" type="button" dataOnly="0" labelOnly="1" outline="0" axis="axisCol" fieldPosition="0"/>
    </format>
    <format dxfId="52">
      <pivotArea type="topRight" dataOnly="0" labelOnly="1" outline="0" fieldPosition="0"/>
    </format>
    <format dxfId="51">
      <pivotArea field="8" type="button" dataOnly="0" labelOnly="1" outline="0" axis="axisRow" fieldPosition="0"/>
    </format>
    <format dxfId="50">
      <pivotArea dataOnly="0" labelOnly="1" fieldPosition="0">
        <references count="1">
          <reference field="8" count="0"/>
        </references>
      </pivotArea>
    </format>
    <format dxfId="49">
      <pivotArea dataOnly="0" labelOnly="1" grandRow="1" outline="0" fieldPosition="0"/>
    </format>
    <format dxfId="48">
      <pivotArea dataOnly="0" labelOnly="1" fieldPosition="0">
        <references count="1">
          <reference field="1" count="0"/>
        </references>
      </pivotArea>
    </format>
    <format dxfId="4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9DCCF5-BB30-450A-8D3F-8C18B06B16C8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rowHeaderCaption="Channels" colHeaderCaption="City Tier">
  <location ref="A10:E16" firstHeaderRow="1" firstDataRow="2" firstDataCol="1"/>
  <pivotFields count="13">
    <pivotField showAll="0"/>
    <pivotField axis="axisCol"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4" showAll="0"/>
    <pivotField numFmtId="14" showAll="0"/>
    <pivotField dataField="1"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Avg Delay" fld="7" subtotal="average" baseField="8" baseItem="0" numFmtId="2"/>
  </dataFields>
  <formats count="10">
    <format dxfId="66">
      <pivotArea type="all" dataOnly="0" outline="0" fieldPosition="0"/>
    </format>
    <format dxfId="65">
      <pivotArea outline="0" collapsedLevelsAreSubtotals="1" fieldPosition="0"/>
    </format>
    <format dxfId="64">
      <pivotArea type="origin" dataOnly="0" labelOnly="1" outline="0" fieldPosition="0"/>
    </format>
    <format dxfId="63">
      <pivotArea field="1" type="button" dataOnly="0" labelOnly="1" outline="0" axis="axisCol" fieldPosition="0"/>
    </format>
    <format dxfId="62">
      <pivotArea type="topRight" dataOnly="0" labelOnly="1" outline="0" fieldPosition="0"/>
    </format>
    <format dxfId="61">
      <pivotArea field="8" type="button" dataOnly="0" labelOnly="1" outline="0" axis="axisRow" fieldPosition="0"/>
    </format>
    <format dxfId="60">
      <pivotArea dataOnly="0" labelOnly="1" fieldPosition="0">
        <references count="1">
          <reference field="8" count="0"/>
        </references>
      </pivotArea>
    </format>
    <format dxfId="59">
      <pivotArea dataOnly="0" labelOnly="1" grandRow="1" outline="0" fieldPosition="0"/>
    </format>
    <format dxfId="58">
      <pivotArea dataOnly="0" labelOnly="1" fieldPosition="0">
        <references count="1">
          <reference field="1" count="0"/>
        </references>
      </pivotArea>
    </format>
    <format dxfId="57">
      <pivotArea dataOnly="0" labelOnly="1" grandCol="1" outline="0" fieldPosition="0"/>
    </format>
  </formats>
  <chartFormats count="3">
    <chartFormat chart="1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F8370E-B5A9-4804-B951-B683684657F1}" name="PivotTable1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hannels" colHeaderCaption="City Tier">
  <location ref="J9:N15" firstHeaderRow="1" firstDataRow="2" firstDataCol="1"/>
  <pivotFields count="16">
    <pivotField showAll="0"/>
    <pivotField axis="axisCol"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4" showAll="0"/>
    <pivotField numFmtId="14" showAll="0"/>
    <pivotField dataField="1"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Avg Days Past Due" fld="7" subtotal="average" baseField="8" baseItem="0" numFmtId="2"/>
  </dataFields>
  <formats count="10">
    <format dxfId="10">
      <pivotArea type="all" dataOnly="0" outline="0" fieldPosition="0"/>
    </format>
    <format dxfId="9">
      <pivotArea outline="0" collapsedLevelsAreSubtotals="1" fieldPosition="0"/>
    </format>
    <format dxfId="8">
      <pivotArea type="origin" dataOnly="0" labelOnly="1" outline="0" fieldPosition="0"/>
    </format>
    <format dxfId="7">
      <pivotArea field="1" type="button" dataOnly="0" labelOnly="1" outline="0" axis="axisCol" fieldPosition="0"/>
    </format>
    <format dxfId="6">
      <pivotArea type="topRight" dataOnly="0" labelOnly="1" outline="0" fieldPosition="0"/>
    </format>
    <format dxfId="5">
      <pivotArea field="8" type="button" dataOnly="0" labelOnly="1" outline="0" axis="axisRow" fieldPosition="0"/>
    </format>
    <format dxfId="4">
      <pivotArea dataOnly="0" labelOnly="1" fieldPosition="0">
        <references count="1">
          <reference field="8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1">
          <reference field="1" count="0"/>
        </references>
      </pivotArea>
    </format>
    <format dxfId="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3A5789-1B32-4199-A7A9-0C86272ACD98}" name="PivotTable1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Loan Bucket">
  <location ref="E19:G24" firstHeaderRow="0" firstDataRow="1" firstDataCol="1"/>
  <pivotFields count="16">
    <pivotField showAll="0"/>
    <pivotField showAll="0"/>
    <pivotField showAll="0"/>
    <pivotField showAll="0"/>
    <pivotField showAll="0"/>
    <pivotField numFmtId="14" showAll="0"/>
    <pivotField numFmtId="14"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5">
        <item x="1"/>
        <item x="3"/>
        <item x="0"/>
        <item x="2"/>
        <item t="default"/>
      </items>
    </pivotField>
  </pivotFields>
  <rowFields count="1">
    <field x="1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Avg Delay" fld="7" subtotal="average" baseField="15" baseItem="0" numFmtId="2"/>
    <dataField name="% Delayed" fld="11" subtotal="average" baseField="15" baseItem="0" numFmtId="10"/>
  </dataFields>
  <formats count="6"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15" type="button" dataOnly="0" labelOnly="1" outline="0" axis="axisRow" fieldPosition="0"/>
    </format>
    <format dxfId="13">
      <pivotArea dataOnly="0" labelOnly="1" fieldPosition="0">
        <references count="1">
          <reference field="15" count="0"/>
        </references>
      </pivotArea>
    </format>
    <format dxfId="12">
      <pivotArea dataOnly="0" labelOnly="1" grandRow="1" outline="0" fieldPosition="0"/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B9BE24-CD82-4C06-A408-33ACCBC5C44C}" name="PivotTable1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evious Deliquent">
  <location ref="A19:C22" firstHeaderRow="0" firstDataRow="1" firstDataCol="1"/>
  <pivotFields count="15">
    <pivotField showAll="0"/>
    <pivotField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4" showAll="0"/>
    <pivotField numFmtId="14" showAll="0"/>
    <pivotField dataField="1" showAll="0"/>
    <pivotField showAll="0"/>
    <pivotField axis="axisRow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>
      <items count="3">
        <item x="1"/>
        <item x="0"/>
        <item t="default"/>
      </items>
    </pivotField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Avg Delay" fld="7" subtotal="average" baseField="1" baseItem="0" numFmtId="2"/>
    <dataField name="% Delayed" fld="11" subtotal="average" baseField="1" baseItem="0" numFmtId="10"/>
  </dataFields>
  <formats count="6"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9" type="button" dataOnly="0" labelOnly="1" outline="0" axis="axisRow" fieldPosition="0"/>
    </format>
    <format dxfId="19">
      <pivotArea dataOnly="0" labelOnly="1" fieldPosition="0">
        <references count="1">
          <reference field="9" count="0"/>
        </references>
      </pivotArea>
    </format>
    <format dxfId="18">
      <pivotArea dataOnly="0" labelOnly="1" grandRow="1" outline="0" fieldPosition="0"/>
    </format>
    <format dxfId="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904356-F760-4950-AA03-5FC9C0C56965}" name="PivotTable1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Income Bracket">
  <location ref="E13:G17" firstHeaderRow="0" firstDataRow="1" firstDataCol="1"/>
  <pivotFields count="15"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numFmtId="14" showAll="0"/>
    <pivotField numFmtId="14"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Avg Delay" fld="7" subtotal="average" baseField="2" baseItem="0" numFmtId="2"/>
    <dataField name="% Delayed" fld="11" subtotal="average" baseField="2" baseItem="0" numFmtId="10"/>
  </dataFields>
  <formats count="6"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2" type="button" dataOnly="0" labelOnly="1" outline="0" axis="axisRow" fieldPosition="0"/>
    </format>
    <format dxfId="25">
      <pivotArea dataOnly="0" labelOnly="1" fieldPosition="0">
        <references count="1">
          <reference field="2" count="0"/>
        </references>
      </pivotArea>
    </format>
    <format dxfId="24">
      <pivotArea dataOnly="0" labelOnly="1" grandRow="1" outline="0" fieldPosition="0"/>
    </format>
    <format dxfId="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2DE080-4204-41DD-B287-5134DDDA06A1}" name="PivotTable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ity Tier">
  <location ref="A13:C17" firstHeaderRow="0" firstDataRow="1" firstDataCol="1"/>
  <pivotFields count="15"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4" showAll="0"/>
    <pivotField numFmtId="14"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Avg Delay" fld="7" subtotal="average" baseField="1" baseItem="0" numFmtId="2"/>
    <dataField name="% Delayed" fld="11" subtotal="average" baseField="1" baseItem="0" numFmtId="10"/>
  </dataFields>
  <formats count="6"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1" type="button" dataOnly="0" labelOnly="1" outline="0" axis="axisRow" fieldPosition="0"/>
    </format>
    <format dxfId="31">
      <pivotArea dataOnly="0" labelOnly="1" fieldPosition="0">
        <references count="1">
          <reference field="1" count="0"/>
        </references>
      </pivotArea>
    </format>
    <format dxfId="30">
      <pivotArea dataOnly="0" labelOnly="1" grandRow="1" outline="0" fieldPosition="0"/>
    </format>
    <format dxfId="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3BF4C2-381D-4B8E-B182-42713CDE1BF6}" name="PivotTable8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isk Category">
  <location ref="A1:F5" firstHeaderRow="0" firstDataRow="1" firstDataCol="1"/>
  <pivotFields count="17">
    <pivotField dataField="1" showAll="0"/>
    <pivotField showAll="0"/>
    <pivotField showAll="0"/>
    <pivotField dataField="1" showAll="0"/>
    <pivotField dataField="1" showAll="0"/>
    <pivotField numFmtId="14" showAll="0"/>
    <pivotField numFmtId="14" showAll="0"/>
    <pivotField dataField="1" showAll="0"/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dataField="1" showAll="0"/>
    <pivotField showAll="0"/>
    <pivotField showAll="0"/>
  </pivotFields>
  <rowFields count="1">
    <field x="13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Average Loan" fld="3" subtotal="average" baseField="13" baseItem="0" numFmtId="2"/>
    <dataField name="Average EMI" fld="4" subtotal="average" baseField="13" baseItem="0" numFmtId="2"/>
    <dataField name="Avg Delay" fld="7" subtotal="average" baseField="13" baseItem="0" numFmtId="2"/>
    <dataField name="% Previously Delinquent" fld="14" subtotal="average" baseField="13" baseItem="0" numFmtId="10"/>
    <dataField name="Customers" fld="0" subtotal="count" baseField="13" baseItem="0"/>
  </dataFields>
  <formats count="6">
    <format dxfId="40">
      <pivotArea type="all" dataOnly="0" outline="0" fieldPosition="0"/>
    </format>
    <format dxfId="39">
      <pivotArea outline="0" collapsedLevelsAreSubtotals="1" fieldPosition="0"/>
    </format>
    <format dxfId="38">
      <pivotArea field="13" type="button" dataOnly="0" labelOnly="1" outline="0" axis="axisRow" fieldPosition="0"/>
    </format>
    <format dxfId="37">
      <pivotArea dataOnly="0" labelOnly="1" fieldPosition="0">
        <references count="1">
          <reference field="13" count="0"/>
        </references>
      </pivotArea>
    </format>
    <format dxfId="36">
      <pivotArea dataOnly="0" labelOnly="1" grandRow="1" outline="0" fieldPosition="0"/>
    </format>
    <format dxfId="35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805F74-8602-4974-B8CC-6F836EAD4BEF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olHeaderCaption="City Tier">
  <location ref="I18:M30" firstHeaderRow="1" firstDataRow="2" firstDataCol="1"/>
  <pivotFields count="17">
    <pivotField showAll="0"/>
    <pivotField axis="axisCol" showAll="0">
      <items count="4">
        <item x="2"/>
        <item x="0"/>
        <item x="1"/>
        <item t="default"/>
      </items>
    </pivotField>
    <pivotField showAll="0"/>
    <pivotField showAll="0"/>
    <pivotField showAll="0"/>
    <pivotField numFmtId="14" showAll="0"/>
    <pivotField numFmtId="14" showAll="0"/>
    <pivotField showAll="0"/>
    <pivotField showAll="0"/>
    <pivotField showAll="0"/>
    <pivotField axis="axisRow" showAll="0">
      <items count="11">
        <item x="8"/>
        <item x="1"/>
        <item x="4"/>
        <item x="0"/>
        <item x="5"/>
        <item x="3"/>
        <item x="9"/>
        <item x="7"/>
        <item x="6"/>
        <item x="2"/>
        <item t="default"/>
      </items>
    </pivotField>
    <pivotField dataField="1"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</pivotFields>
  <rowFields count="1">
    <field x="1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% of users Is_Delayed" fld="11" subtotal="average" baseField="10" baseItem="1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0CACAB-3E02-4FA9-81B8-513FF827039E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1:J12" firstHeaderRow="1" firstDataRow="1" firstDataCol="1"/>
  <pivotFields count="17">
    <pivotField showAll="0"/>
    <pivotField showAll="0"/>
    <pivotField showAll="0"/>
    <pivotField showAll="0"/>
    <pivotField showAll="0"/>
    <pivotField numFmtId="14" showAll="0"/>
    <pivotField numFmtId="14" showAll="0"/>
    <pivotField dataField="1" showAll="0"/>
    <pivotField showAll="0"/>
    <pivotField showAll="0"/>
    <pivotField axis="axisRow" showAll="0">
      <items count="11">
        <item x="8"/>
        <item x="1"/>
        <item x="4"/>
        <item x="0"/>
        <item x="5"/>
        <item x="3"/>
        <item x="9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Average of days_past_due" fld="7" subtotal="average" baseField="1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289A7E-4356-4250-AFC1-DEC42C83E692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olHeaderCaption="Loan Bucket">
  <location ref="A18:F30" firstHeaderRow="1" firstDataRow="2" firstDataCol="1"/>
  <pivotFields count="17"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showAll="0"/>
    <pivotField showAll="0"/>
    <pivotField axis="axisRow" showAll="0">
      <items count="11">
        <item x="8"/>
        <item x="1"/>
        <item x="4"/>
        <item x="0"/>
        <item x="5"/>
        <item x="3"/>
        <item x="9"/>
        <item x="7"/>
        <item x="6"/>
        <item x="2"/>
        <item t="default"/>
      </items>
    </pivotField>
    <pivotField dataField="1" showAll="0"/>
    <pivotField showAll="0"/>
    <pivotField showAll="0"/>
    <pivotField showAll="0"/>
    <pivotField axis="axisCol" showAll="0">
      <items count="5">
        <item x="2"/>
        <item x="0"/>
        <item x="3"/>
        <item x="1"/>
        <item t="default"/>
      </items>
    </pivotField>
    <pivotField showAll="0"/>
  </pivotFields>
  <rowFields count="1">
    <field x="1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5"/>
  </colFields>
  <colItems count="5">
    <i>
      <x/>
    </i>
    <i>
      <x v="1"/>
    </i>
    <i>
      <x v="2"/>
    </i>
    <i>
      <x v="3"/>
    </i>
    <i t="grand">
      <x/>
    </i>
  </colItems>
  <dataFields count="1">
    <dataField name="% of Is_Delayed" fld="11" subtotal="average" baseField="1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91FC9F-C88A-45EB-95C1-F955AC556269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olHeaderCaption="Income Group">
  <location ref="A1:E13" firstHeaderRow="1" firstDataRow="2" firstDataCol="1"/>
  <pivotFields count="17">
    <pivotField showAll="0"/>
    <pivotField showAll="0">
      <items count="4">
        <item x="2"/>
        <item x="0"/>
        <item x="1"/>
        <item t="default"/>
      </items>
    </pivotField>
    <pivotField axis="axisCol" showAll="0">
      <items count="4">
        <item n="High Income " x="2"/>
        <item n="Medium Income" x="0"/>
        <item n="Low Income" x="1"/>
        <item t="default"/>
      </items>
    </pivotField>
    <pivotField showAll="0"/>
    <pivotField showAll="0"/>
    <pivotField numFmtId="14" showAll="0"/>
    <pivotField numFmtId="14" showAll="0"/>
    <pivotField showAll="0"/>
    <pivotField showAll="0"/>
    <pivotField showAll="0"/>
    <pivotField axis="axisRow" showAll="0">
      <items count="11">
        <item x="8"/>
        <item x="1"/>
        <item x="4"/>
        <item x="0"/>
        <item x="5"/>
        <item x="3"/>
        <item x="9"/>
        <item x="7"/>
        <item x="6"/>
        <item x="2"/>
        <item t="default"/>
      </items>
    </pivotField>
    <pivotField dataField="1" showAll="0"/>
    <pivotField showAll="0"/>
    <pivotField showAll="0"/>
    <pivotField showAll="0"/>
    <pivotField showAll="0">
      <items count="5">
        <item x="2"/>
        <item x="0"/>
        <item x="3"/>
        <item x="1"/>
        <item t="default"/>
      </items>
    </pivotField>
    <pivotField showAll="0"/>
  </pivotFields>
  <rowFields count="1">
    <field x="1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% of Is_Delayed" fld="11" subtotal="average" baseField="1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7606E9C-EA14-46A2-8D88-555EF79DEEEF}" autoFormatId="16" applyNumberFormats="0" applyBorderFormats="0" applyFontFormats="0" applyPatternFormats="0" applyAlignmentFormats="0" applyWidthHeightFormats="0">
  <queryTableRefresh nextId="12">
    <queryTableFields count="11">
      <queryTableField id="1" name="customer_id" tableColumnId="1"/>
      <queryTableField id="2" name="city_tier" tableColumnId="2"/>
      <queryTableField id="3" name="income_bracket" tableColumnId="3"/>
      <queryTableField id="4" name="loan_amount" tableColumnId="4"/>
      <queryTableField id="5" name="emi_amount" tableColumnId="5"/>
      <queryTableField id="6" name="due_date" tableColumnId="6"/>
      <queryTableField id="7" name="paid_date" tableColumnId="7"/>
      <queryTableField id="8" name="days_past_due" tableColumnId="8"/>
      <queryTableField id="9" name="channel_used" tableColumnId="9"/>
      <queryTableField id="10" name="previous_delinquency" tableColumnId="10"/>
      <queryTableField id="11" name="response_text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E4489A-1A19-4FED-8B65-D8F51C814CD8}" name="WeRize_Product_Analyst_Assignment_Data" displayName="WeRize_Product_Analyst_Assignment_Data" ref="A1:K501" tableType="queryTable" totalsRowShown="0" headerRowDxfId="88" dataDxfId="87">
  <autoFilter ref="A1:K501" xr:uid="{7FE4489A-1A19-4FED-8B65-D8F51C814CD8}"/>
  <tableColumns count="11">
    <tableColumn id="1" xr3:uid="{7583EE13-9440-47A8-B058-1BAE8F74121B}" uniqueName="1" name="customer_id" queryTableFieldId="1" dataDxfId="86"/>
    <tableColumn id="2" xr3:uid="{4901A4EA-DDBE-45B4-A946-55619E605B31}" uniqueName="2" name="city_tier" queryTableFieldId="2" dataDxfId="85"/>
    <tableColumn id="3" xr3:uid="{5537D32E-DC7F-4D0C-98F4-01923AE21869}" uniqueName="3" name="income_bracket" queryTableFieldId="3" dataDxfId="84"/>
    <tableColumn id="4" xr3:uid="{BD97F0CC-A079-4BDE-BF36-83854B249406}" uniqueName="4" name="loan_amount" queryTableFieldId="4" dataDxfId="83"/>
    <tableColumn id="5" xr3:uid="{FB521308-5FD8-4C12-972E-19B4D6395AC1}" uniqueName="5" name="emi_amount" queryTableFieldId="5" dataDxfId="82"/>
    <tableColumn id="6" xr3:uid="{BCFE6C7D-5BFF-42E6-A022-383E018234EA}" uniqueName="6" name="due_date" queryTableFieldId="6" dataDxfId="81"/>
    <tableColumn id="7" xr3:uid="{954108D2-5021-4280-894F-430F70CA824A}" uniqueName="7" name="paid_date" queryTableFieldId="7" dataDxfId="80"/>
    <tableColumn id="8" xr3:uid="{39180213-C771-42B7-861D-6CE2386E31B3}" uniqueName="8" name="days_past_due" queryTableFieldId="8" dataDxfId="79"/>
    <tableColumn id="9" xr3:uid="{6249C901-5DB4-43C7-9B56-6B8FD6D4CFD5}" uniqueName="9" name="channel_used" queryTableFieldId="9" dataDxfId="78"/>
    <tableColumn id="10" xr3:uid="{456D8E67-F491-425E-9204-2149FAC20EE6}" uniqueName="10" name="previous_delinquency" queryTableFieldId="10" dataDxfId="77"/>
    <tableColumn id="11" xr3:uid="{7B4A0275-CD09-4AFA-BCF1-A942E5951898}" uniqueName="11" name="response_text" queryTableFieldId="11" dataDxfId="7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pivotTable" Target="../pivotTables/pivotTable12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5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4" Type="http://schemas.openxmlformats.org/officeDocument/2006/relationships/pivotTable" Target="../pivotTables/pivot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1A3BC-B8D5-406E-B89C-AA78CC03D2AD}">
  <dimension ref="A1:V501"/>
  <sheetViews>
    <sheetView topLeftCell="E1" zoomScale="79" workbookViewId="0">
      <selection activeCell="H1" sqref="H1:H1048576"/>
    </sheetView>
  </sheetViews>
  <sheetFormatPr defaultRowHeight="14.4" x14ac:dyDescent="0.3"/>
  <cols>
    <col min="1" max="1" width="13.6640625" style="1" bestFit="1" customWidth="1"/>
    <col min="2" max="2" width="12.44140625" style="1" customWidth="1"/>
    <col min="3" max="3" width="16.88671875" style="1" bestFit="1" customWidth="1"/>
    <col min="4" max="4" width="14.5546875" style="1" bestFit="1" customWidth="1"/>
    <col min="5" max="5" width="14" style="1" bestFit="1" customWidth="1"/>
    <col min="6" max="6" width="19" style="1" customWidth="1"/>
    <col min="7" max="7" width="11.6640625" style="1" bestFit="1" customWidth="1"/>
    <col min="8" max="8" width="16" style="1" bestFit="1" customWidth="1"/>
    <col min="9" max="9" width="14.88671875" style="1" bestFit="1" customWidth="1"/>
    <col min="10" max="10" width="22" style="1" bestFit="1" customWidth="1"/>
    <col min="11" max="11" width="24.44140625" style="1" bestFit="1" customWidth="1"/>
    <col min="12" max="12" width="13" style="1" customWidth="1"/>
    <col min="13" max="14" width="12.77734375" style="1" customWidth="1"/>
    <col min="15" max="19" width="17.88671875" style="1" customWidth="1"/>
    <col min="20" max="20" width="11.88671875" style="1" customWidth="1"/>
    <col min="21" max="21" width="29" style="1" customWidth="1"/>
    <col min="22" max="22" width="11.21875" style="1" customWidth="1"/>
    <col min="23" max="16384" width="8.88671875" style="1"/>
  </cols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530</v>
      </c>
      <c r="M1" s="1" t="s">
        <v>531</v>
      </c>
      <c r="N1" s="1" t="s">
        <v>553</v>
      </c>
      <c r="O1" s="1" t="s">
        <v>554</v>
      </c>
      <c r="P1" s="1" t="s">
        <v>569</v>
      </c>
      <c r="Q1" s="1" t="s">
        <v>594</v>
      </c>
    </row>
    <row r="2" spans="1:22" x14ac:dyDescent="0.3">
      <c r="A2" s="1" t="s">
        <v>11</v>
      </c>
      <c r="B2" s="1">
        <v>2</v>
      </c>
      <c r="C2" s="1" t="s">
        <v>12</v>
      </c>
      <c r="D2" s="1">
        <v>77134</v>
      </c>
      <c r="E2" s="1">
        <v>3400</v>
      </c>
      <c r="F2" s="2">
        <v>45938</v>
      </c>
      <c r="G2" s="2">
        <v>45941</v>
      </c>
      <c r="H2" s="1">
        <v>3</v>
      </c>
      <c r="I2" s="1" t="s">
        <v>13</v>
      </c>
      <c r="J2" s="1" t="s">
        <v>14</v>
      </c>
      <c r="K2" s="1" t="s">
        <v>15</v>
      </c>
      <c r="L2" s="1">
        <f>IF(H2&gt;0,1,0)</f>
        <v>1</v>
      </c>
      <c r="M2" s="1" t="str">
        <f>IF(H2=0,"On Time","Delayed")</f>
        <v>Delayed</v>
      </c>
      <c r="N2" s="1" t="str">
        <f>_xlfn.IFS(H2=0,"Low",H2&lt;=14,"Medium",H2&gt;14,"High")</f>
        <v>Medium</v>
      </c>
      <c r="O2" s="1">
        <f>IF(J2="Yes",1,0)</f>
        <v>1</v>
      </c>
      <c r="P2" s="1" t="str">
        <f>_xlfn.IFS(
 D2&lt;=$V$16,"Low Loan",
 D2&lt;=$V$17,"Mid Loan",
 D2&lt;=$V$18,"High Loan",
 TRUE,"Very High Loan"
)</f>
        <v>High Loan</v>
      </c>
      <c r="Q2" s="1">
        <f>IF(H2=0,1,0)</f>
        <v>0</v>
      </c>
    </row>
    <row r="3" spans="1:22" x14ac:dyDescent="0.3">
      <c r="A3" s="1" t="s">
        <v>16</v>
      </c>
      <c r="B3" s="1">
        <v>3</v>
      </c>
      <c r="C3" s="1" t="s">
        <v>12</v>
      </c>
      <c r="D3" s="1">
        <v>40491</v>
      </c>
      <c r="E3" s="1">
        <v>2100</v>
      </c>
      <c r="F3" s="2">
        <v>45948</v>
      </c>
      <c r="G3" s="2">
        <v>45948</v>
      </c>
      <c r="H3" s="1">
        <v>0</v>
      </c>
      <c r="I3" s="1" t="s">
        <v>17</v>
      </c>
      <c r="J3" s="1" t="s">
        <v>14</v>
      </c>
      <c r="K3" s="1" t="s">
        <v>18</v>
      </c>
      <c r="L3" s="1">
        <f t="shared" ref="L3:L66" si="0">IF(H3&gt;0,1,0)</f>
        <v>0</v>
      </c>
      <c r="M3" s="1" t="str">
        <f t="shared" ref="M3:M66" si="1">IF(H3=0,"On Time","Delayed")</f>
        <v>On Time</v>
      </c>
      <c r="N3" s="1" t="str">
        <f t="shared" ref="N3:N66" si="2">_xlfn.IFS(H3=0,"Low",H3&lt;=14,"Medium",H3&gt;14,"High")</f>
        <v>Low</v>
      </c>
      <c r="O3" s="1">
        <f t="shared" ref="O3:O66" si="3">IF(J3="Yes",1,0)</f>
        <v>1</v>
      </c>
      <c r="P3" s="1" t="str">
        <f t="shared" ref="P3:P66" si="4">_xlfn.IFS(
 D3&lt;=$V$16,"Low Loan",
 D3&lt;=$V$17,"Mid Loan",
 D3&lt;=$V$18,"High Loan",
 TRUE,"Very High Loan"
)</f>
        <v>Low Loan</v>
      </c>
      <c r="Q3" s="1">
        <f t="shared" ref="Q3:Q66" si="5">IF(H3=0,1,0)</f>
        <v>1</v>
      </c>
    </row>
    <row r="4" spans="1:22" x14ac:dyDescent="0.3">
      <c r="A4" s="1" t="s">
        <v>19</v>
      </c>
      <c r="B4" s="1">
        <v>3</v>
      </c>
      <c r="C4" s="1" t="s">
        <v>20</v>
      </c>
      <c r="D4" s="1">
        <v>21341</v>
      </c>
      <c r="E4" s="1">
        <v>3000</v>
      </c>
      <c r="F4" s="2">
        <v>45953</v>
      </c>
      <c r="G4" s="2">
        <v>45956</v>
      </c>
      <c r="H4" s="1">
        <v>3</v>
      </c>
      <c r="I4" s="1" t="s">
        <v>21</v>
      </c>
      <c r="J4" s="1" t="s">
        <v>22</v>
      </c>
      <c r="K4" s="1" t="s">
        <v>23</v>
      </c>
      <c r="L4" s="1">
        <f t="shared" si="0"/>
        <v>1</v>
      </c>
      <c r="M4" s="1" t="str">
        <f t="shared" si="1"/>
        <v>Delayed</v>
      </c>
      <c r="N4" s="1" t="str">
        <f t="shared" si="2"/>
        <v>Medium</v>
      </c>
      <c r="O4" s="1">
        <f t="shared" si="3"/>
        <v>0</v>
      </c>
      <c r="P4" s="1" t="str">
        <f t="shared" si="4"/>
        <v>Low Loan</v>
      </c>
      <c r="Q4" s="1">
        <f t="shared" si="5"/>
        <v>0</v>
      </c>
    </row>
    <row r="5" spans="1:22" x14ac:dyDescent="0.3">
      <c r="A5" s="1" t="s">
        <v>24</v>
      </c>
      <c r="B5" s="1">
        <v>2</v>
      </c>
      <c r="C5" s="1" t="s">
        <v>12</v>
      </c>
      <c r="D5" s="1">
        <v>64623</v>
      </c>
      <c r="E5" s="1">
        <v>4600</v>
      </c>
      <c r="F5" s="2">
        <v>45939</v>
      </c>
      <c r="G5" s="2">
        <v>45939</v>
      </c>
      <c r="H5" s="1">
        <v>0</v>
      </c>
      <c r="I5" s="1" t="s">
        <v>21</v>
      </c>
      <c r="J5" s="1" t="s">
        <v>22</v>
      </c>
      <c r="K5" s="1" t="s">
        <v>23</v>
      </c>
      <c r="L5" s="1">
        <f t="shared" si="0"/>
        <v>0</v>
      </c>
      <c r="M5" s="1" t="str">
        <f t="shared" si="1"/>
        <v>On Time</v>
      </c>
      <c r="N5" s="1" t="str">
        <f t="shared" si="2"/>
        <v>Low</v>
      </c>
      <c r="O5" s="1">
        <f t="shared" si="3"/>
        <v>0</v>
      </c>
      <c r="P5" s="1" t="str">
        <f t="shared" si="4"/>
        <v>High Loan</v>
      </c>
      <c r="Q5" s="1">
        <f t="shared" si="5"/>
        <v>1</v>
      </c>
    </row>
    <row r="6" spans="1:22" x14ac:dyDescent="0.3">
      <c r="A6" s="1" t="s">
        <v>25</v>
      </c>
      <c r="B6" s="1">
        <v>1</v>
      </c>
      <c r="C6" s="1" t="s">
        <v>12</v>
      </c>
      <c r="D6" s="1">
        <v>20338</v>
      </c>
      <c r="E6" s="1">
        <v>2000</v>
      </c>
      <c r="F6" s="2">
        <v>45955</v>
      </c>
      <c r="G6" s="2">
        <v>45985</v>
      </c>
      <c r="H6" s="1">
        <v>30</v>
      </c>
      <c r="I6" s="1" t="s">
        <v>13</v>
      </c>
      <c r="J6" s="1" t="s">
        <v>22</v>
      </c>
      <c r="K6" s="1" t="s">
        <v>26</v>
      </c>
      <c r="L6" s="1">
        <f t="shared" si="0"/>
        <v>1</v>
      </c>
      <c r="M6" s="1" t="str">
        <f t="shared" si="1"/>
        <v>Delayed</v>
      </c>
      <c r="N6" s="1" t="str">
        <f t="shared" si="2"/>
        <v>High</v>
      </c>
      <c r="O6" s="1">
        <f t="shared" si="3"/>
        <v>0</v>
      </c>
      <c r="P6" s="1" t="str">
        <f t="shared" si="4"/>
        <v>Low Loan</v>
      </c>
      <c r="Q6" s="1">
        <f t="shared" si="5"/>
        <v>0</v>
      </c>
    </row>
    <row r="7" spans="1:22" x14ac:dyDescent="0.3">
      <c r="A7" s="1" t="s">
        <v>27</v>
      </c>
      <c r="B7" s="1">
        <v>1</v>
      </c>
      <c r="C7" s="1" t="s">
        <v>20</v>
      </c>
      <c r="D7" s="1">
        <v>91431</v>
      </c>
      <c r="E7" s="1">
        <v>15200</v>
      </c>
      <c r="F7" s="2">
        <v>45938</v>
      </c>
      <c r="G7" s="2">
        <v>45938</v>
      </c>
      <c r="H7" s="1">
        <v>0</v>
      </c>
      <c r="I7" s="1" t="s">
        <v>28</v>
      </c>
      <c r="J7" s="1" t="s">
        <v>22</v>
      </c>
      <c r="K7" s="1" t="s">
        <v>26</v>
      </c>
      <c r="L7" s="1">
        <f t="shared" si="0"/>
        <v>0</v>
      </c>
      <c r="M7" s="1" t="str">
        <f t="shared" si="1"/>
        <v>On Time</v>
      </c>
      <c r="N7" s="1" t="str">
        <f t="shared" si="2"/>
        <v>Low</v>
      </c>
      <c r="O7" s="1">
        <f t="shared" si="3"/>
        <v>0</v>
      </c>
      <c r="P7" s="1" t="str">
        <f t="shared" si="4"/>
        <v>Very High Loan</v>
      </c>
      <c r="Q7" s="1">
        <f t="shared" si="5"/>
        <v>1</v>
      </c>
      <c r="U7" s="3" t="s">
        <v>532</v>
      </c>
    </row>
    <row r="8" spans="1:22" x14ac:dyDescent="0.3">
      <c r="A8" s="1" t="s">
        <v>29</v>
      </c>
      <c r="B8" s="1">
        <v>1</v>
      </c>
      <c r="C8" s="1" t="s">
        <v>30</v>
      </c>
      <c r="D8" s="1">
        <v>32254</v>
      </c>
      <c r="E8" s="1">
        <v>4000</v>
      </c>
      <c r="F8" s="2">
        <v>45957</v>
      </c>
      <c r="G8" s="2">
        <v>45957</v>
      </c>
      <c r="H8" s="1">
        <v>0</v>
      </c>
      <c r="I8" s="1" t="s">
        <v>21</v>
      </c>
      <c r="J8" s="1" t="s">
        <v>22</v>
      </c>
      <c r="K8" s="1" t="s">
        <v>18</v>
      </c>
      <c r="L8" s="1">
        <f t="shared" si="0"/>
        <v>0</v>
      </c>
      <c r="M8" s="1" t="str">
        <f t="shared" si="1"/>
        <v>On Time</v>
      </c>
      <c r="N8" s="1" t="str">
        <f t="shared" si="2"/>
        <v>Low</v>
      </c>
      <c r="O8" s="1">
        <f t="shared" si="3"/>
        <v>0</v>
      </c>
      <c r="P8" s="1" t="str">
        <f t="shared" si="4"/>
        <v>Low Loan</v>
      </c>
      <c r="Q8" s="1">
        <f t="shared" si="5"/>
        <v>1</v>
      </c>
      <c r="U8" s="3" t="s">
        <v>533</v>
      </c>
      <c r="V8" s="1">
        <f>COUNTA(A2:A501)</f>
        <v>500</v>
      </c>
    </row>
    <row r="9" spans="1:22" x14ac:dyDescent="0.3">
      <c r="A9" s="1" t="s">
        <v>31</v>
      </c>
      <c r="B9" s="1">
        <v>3</v>
      </c>
      <c r="C9" s="1" t="s">
        <v>12</v>
      </c>
      <c r="D9" s="1">
        <v>71860</v>
      </c>
      <c r="E9" s="1">
        <v>6500</v>
      </c>
      <c r="F9" s="2">
        <v>45944</v>
      </c>
      <c r="G9" s="2">
        <v>45947</v>
      </c>
      <c r="H9" s="1">
        <v>3</v>
      </c>
      <c r="I9" s="1" t="s">
        <v>17</v>
      </c>
      <c r="J9" s="1" t="s">
        <v>22</v>
      </c>
      <c r="K9" s="1" t="s">
        <v>32</v>
      </c>
      <c r="L9" s="1">
        <f t="shared" si="0"/>
        <v>1</v>
      </c>
      <c r="M9" s="1" t="str">
        <f t="shared" si="1"/>
        <v>Delayed</v>
      </c>
      <c r="N9" s="1" t="str">
        <f t="shared" si="2"/>
        <v>Medium</v>
      </c>
      <c r="O9" s="1">
        <f t="shared" si="3"/>
        <v>0</v>
      </c>
      <c r="P9" s="1" t="str">
        <f t="shared" si="4"/>
        <v>High Loan</v>
      </c>
      <c r="Q9" s="1">
        <f t="shared" si="5"/>
        <v>0</v>
      </c>
      <c r="U9" s="3" t="s">
        <v>534</v>
      </c>
      <c r="V9" s="1">
        <f>ROUND(AVERAGE(D2:D501),2)</f>
        <v>60521.120000000003</v>
      </c>
    </row>
    <row r="10" spans="1:22" x14ac:dyDescent="0.3">
      <c r="A10" s="1" t="s">
        <v>33</v>
      </c>
      <c r="B10" s="1">
        <v>2</v>
      </c>
      <c r="C10" s="1" t="s">
        <v>30</v>
      </c>
      <c r="D10" s="1">
        <v>31344</v>
      </c>
      <c r="E10" s="1">
        <v>3100</v>
      </c>
      <c r="F10" s="2">
        <v>45958</v>
      </c>
      <c r="G10" s="2">
        <v>45958</v>
      </c>
      <c r="H10" s="1">
        <v>0</v>
      </c>
      <c r="I10" s="1" t="s">
        <v>17</v>
      </c>
      <c r="J10" s="1" t="s">
        <v>22</v>
      </c>
      <c r="K10" s="1" t="s">
        <v>34</v>
      </c>
      <c r="L10" s="1">
        <f t="shared" si="0"/>
        <v>0</v>
      </c>
      <c r="M10" s="1" t="str">
        <f t="shared" si="1"/>
        <v>On Time</v>
      </c>
      <c r="N10" s="1" t="str">
        <f t="shared" si="2"/>
        <v>Low</v>
      </c>
      <c r="O10" s="1">
        <f t="shared" si="3"/>
        <v>0</v>
      </c>
      <c r="P10" s="1" t="str">
        <f t="shared" si="4"/>
        <v>Low Loan</v>
      </c>
      <c r="Q10" s="1">
        <f t="shared" si="5"/>
        <v>1</v>
      </c>
      <c r="U10" s="3" t="s">
        <v>535</v>
      </c>
      <c r="V10" s="1">
        <f>AVERAGE(E2:E501)</f>
        <v>4955.2</v>
      </c>
    </row>
    <row r="11" spans="1:22" x14ac:dyDescent="0.3">
      <c r="A11" s="1" t="s">
        <v>35</v>
      </c>
      <c r="B11" s="1">
        <v>3</v>
      </c>
      <c r="C11" s="1" t="s">
        <v>12</v>
      </c>
      <c r="D11" s="1">
        <v>21750</v>
      </c>
      <c r="E11" s="1">
        <v>2200</v>
      </c>
      <c r="F11" s="2">
        <v>45956</v>
      </c>
      <c r="G11" s="2">
        <v>45956</v>
      </c>
      <c r="H11" s="1">
        <v>0</v>
      </c>
      <c r="I11" s="1" t="s">
        <v>28</v>
      </c>
      <c r="J11" s="1" t="s">
        <v>22</v>
      </c>
      <c r="K11" s="1" t="s">
        <v>32</v>
      </c>
      <c r="L11" s="1">
        <f t="shared" si="0"/>
        <v>0</v>
      </c>
      <c r="M11" s="1" t="str">
        <f t="shared" si="1"/>
        <v>On Time</v>
      </c>
      <c r="N11" s="1" t="str">
        <f t="shared" si="2"/>
        <v>Low</v>
      </c>
      <c r="O11" s="1">
        <f t="shared" si="3"/>
        <v>0</v>
      </c>
      <c r="P11" s="1" t="str">
        <f t="shared" si="4"/>
        <v>Low Loan</v>
      </c>
      <c r="Q11" s="1">
        <f t="shared" si="5"/>
        <v>1</v>
      </c>
      <c r="U11" s="3" t="s">
        <v>536</v>
      </c>
      <c r="V11" s="1">
        <f>ROUND(AVERAGE(H2:H501),2)</f>
        <v>7.46</v>
      </c>
    </row>
    <row r="12" spans="1:22" x14ac:dyDescent="0.3">
      <c r="A12" s="1" t="s">
        <v>36</v>
      </c>
      <c r="B12" s="1">
        <v>1</v>
      </c>
      <c r="C12" s="1" t="s">
        <v>12</v>
      </c>
      <c r="D12" s="1">
        <v>74756</v>
      </c>
      <c r="E12" s="1">
        <v>12500</v>
      </c>
      <c r="F12" s="2">
        <v>45955</v>
      </c>
      <c r="G12" s="2">
        <v>45962</v>
      </c>
      <c r="H12" s="1">
        <v>7</v>
      </c>
      <c r="I12" s="1" t="s">
        <v>17</v>
      </c>
      <c r="J12" s="1" t="s">
        <v>14</v>
      </c>
      <c r="K12" s="1" t="s">
        <v>34</v>
      </c>
      <c r="L12" s="1">
        <f t="shared" si="0"/>
        <v>1</v>
      </c>
      <c r="M12" s="1" t="str">
        <f t="shared" si="1"/>
        <v>Delayed</v>
      </c>
      <c r="N12" s="1" t="str">
        <f t="shared" si="2"/>
        <v>Medium</v>
      </c>
      <c r="O12" s="1">
        <f t="shared" si="3"/>
        <v>1</v>
      </c>
      <c r="P12" s="1" t="str">
        <f t="shared" si="4"/>
        <v>High Loan</v>
      </c>
      <c r="Q12" s="1">
        <f t="shared" si="5"/>
        <v>0</v>
      </c>
      <c r="U12" s="3" t="s">
        <v>537</v>
      </c>
      <c r="V12" s="4">
        <f>AVERAGE(L2:L501)</f>
        <v>0.44800000000000001</v>
      </c>
    </row>
    <row r="13" spans="1:22" x14ac:dyDescent="0.3">
      <c r="A13" s="1" t="s">
        <v>37</v>
      </c>
      <c r="B13" s="1">
        <v>3</v>
      </c>
      <c r="C13" s="1" t="s">
        <v>20</v>
      </c>
      <c r="D13" s="1">
        <v>87957</v>
      </c>
      <c r="E13" s="1">
        <v>4000</v>
      </c>
      <c r="F13" s="2">
        <v>45948</v>
      </c>
      <c r="G13" s="2">
        <v>45963</v>
      </c>
      <c r="H13" s="1">
        <v>15</v>
      </c>
      <c r="I13" s="1" t="s">
        <v>17</v>
      </c>
      <c r="J13" s="1" t="s">
        <v>22</v>
      </c>
      <c r="K13" s="1" t="s">
        <v>34</v>
      </c>
      <c r="L13" s="1">
        <f t="shared" si="0"/>
        <v>1</v>
      </c>
      <c r="M13" s="1" t="str">
        <f t="shared" si="1"/>
        <v>Delayed</v>
      </c>
      <c r="N13" s="1" t="str">
        <f t="shared" si="2"/>
        <v>High</v>
      </c>
      <c r="O13" s="1">
        <f t="shared" si="3"/>
        <v>0</v>
      </c>
      <c r="P13" s="1" t="str">
        <f t="shared" si="4"/>
        <v>Very High Loan</v>
      </c>
      <c r="Q13" s="1">
        <f t="shared" si="5"/>
        <v>0</v>
      </c>
    </row>
    <row r="14" spans="1:22" x14ac:dyDescent="0.3">
      <c r="A14" s="1" t="s">
        <v>38</v>
      </c>
      <c r="B14" s="1">
        <v>3</v>
      </c>
      <c r="C14" s="1" t="s">
        <v>30</v>
      </c>
      <c r="D14" s="1">
        <v>78053</v>
      </c>
      <c r="E14" s="1">
        <v>4100</v>
      </c>
      <c r="F14" s="2">
        <v>45952</v>
      </c>
      <c r="G14" s="2">
        <v>45952</v>
      </c>
      <c r="H14" s="1">
        <v>0</v>
      </c>
      <c r="I14" s="1" t="s">
        <v>28</v>
      </c>
      <c r="J14" s="1" t="s">
        <v>22</v>
      </c>
      <c r="K14" s="1" t="s">
        <v>15</v>
      </c>
      <c r="L14" s="1">
        <f t="shared" si="0"/>
        <v>0</v>
      </c>
      <c r="M14" s="1" t="str">
        <f t="shared" si="1"/>
        <v>On Time</v>
      </c>
      <c r="N14" s="1" t="str">
        <f t="shared" si="2"/>
        <v>Low</v>
      </c>
      <c r="O14" s="1">
        <f t="shared" si="3"/>
        <v>0</v>
      </c>
      <c r="P14" s="1" t="str">
        <f t="shared" si="4"/>
        <v>High Loan</v>
      </c>
      <c r="Q14" s="1">
        <f t="shared" si="5"/>
        <v>1</v>
      </c>
    </row>
    <row r="15" spans="1:22" x14ac:dyDescent="0.3">
      <c r="A15" s="1" t="s">
        <v>39</v>
      </c>
      <c r="B15" s="1">
        <v>2</v>
      </c>
      <c r="C15" s="1" t="s">
        <v>12</v>
      </c>
      <c r="D15" s="1">
        <v>90855</v>
      </c>
      <c r="E15" s="1">
        <v>5300</v>
      </c>
      <c r="F15" s="2">
        <v>45950</v>
      </c>
      <c r="G15" s="2">
        <v>45957</v>
      </c>
      <c r="H15" s="1">
        <v>7</v>
      </c>
      <c r="I15" s="1" t="s">
        <v>13</v>
      </c>
      <c r="J15" s="1" t="s">
        <v>14</v>
      </c>
      <c r="K15" s="1" t="s">
        <v>15</v>
      </c>
      <c r="L15" s="1">
        <f t="shared" si="0"/>
        <v>1</v>
      </c>
      <c r="M15" s="1" t="str">
        <f t="shared" si="1"/>
        <v>Delayed</v>
      </c>
      <c r="N15" s="1" t="str">
        <f t="shared" si="2"/>
        <v>Medium</v>
      </c>
      <c r="O15" s="1">
        <f t="shared" si="3"/>
        <v>1</v>
      </c>
      <c r="P15" s="1" t="str">
        <f t="shared" si="4"/>
        <v>Very High Loan</v>
      </c>
      <c r="Q15" s="1">
        <f t="shared" si="5"/>
        <v>0</v>
      </c>
    </row>
    <row r="16" spans="1:22" x14ac:dyDescent="0.3">
      <c r="A16" s="1" t="s">
        <v>40</v>
      </c>
      <c r="B16" s="1">
        <v>1</v>
      </c>
      <c r="C16" s="1" t="s">
        <v>20</v>
      </c>
      <c r="D16" s="1">
        <v>35896</v>
      </c>
      <c r="E16" s="1">
        <v>2400</v>
      </c>
      <c r="F16" s="2">
        <v>45960</v>
      </c>
      <c r="G16" s="2">
        <v>46005</v>
      </c>
      <c r="H16" s="1">
        <v>45</v>
      </c>
      <c r="I16" s="1" t="s">
        <v>28</v>
      </c>
      <c r="J16" s="1" t="s">
        <v>22</v>
      </c>
      <c r="K16" s="1" t="s">
        <v>26</v>
      </c>
      <c r="L16" s="1">
        <f t="shared" si="0"/>
        <v>1</v>
      </c>
      <c r="M16" s="1" t="str">
        <f t="shared" si="1"/>
        <v>Delayed</v>
      </c>
      <c r="N16" s="1" t="str">
        <f t="shared" si="2"/>
        <v>High</v>
      </c>
      <c r="O16" s="1">
        <f t="shared" si="3"/>
        <v>0</v>
      </c>
      <c r="P16" s="1" t="str">
        <f t="shared" si="4"/>
        <v>Low Loan</v>
      </c>
      <c r="Q16" s="1">
        <f t="shared" si="5"/>
        <v>0</v>
      </c>
      <c r="U16" s="1" t="s">
        <v>565</v>
      </c>
      <c r="V16" s="1">
        <f>PERCENTILE($D$2:$D$501,0.25)</f>
        <v>42986.75</v>
      </c>
    </row>
    <row r="17" spans="1:22" x14ac:dyDescent="0.3">
      <c r="A17" s="1" t="s">
        <v>41</v>
      </c>
      <c r="B17" s="1">
        <v>1</v>
      </c>
      <c r="C17" s="1" t="s">
        <v>20</v>
      </c>
      <c r="D17" s="1">
        <v>75761</v>
      </c>
      <c r="E17" s="1">
        <v>3300</v>
      </c>
      <c r="F17" s="2">
        <v>45950</v>
      </c>
      <c r="G17" s="2">
        <v>45965</v>
      </c>
      <c r="H17" s="1">
        <v>15</v>
      </c>
      <c r="I17" s="1" t="s">
        <v>21</v>
      </c>
      <c r="J17" s="1" t="s">
        <v>22</v>
      </c>
      <c r="K17" s="1" t="s">
        <v>15</v>
      </c>
      <c r="L17" s="1">
        <f t="shared" si="0"/>
        <v>1</v>
      </c>
      <c r="M17" s="1" t="str">
        <f t="shared" si="1"/>
        <v>Delayed</v>
      </c>
      <c r="N17" s="1" t="str">
        <f t="shared" si="2"/>
        <v>High</v>
      </c>
      <c r="O17" s="1">
        <f t="shared" si="3"/>
        <v>0</v>
      </c>
      <c r="P17" s="1" t="str">
        <f t="shared" si="4"/>
        <v>High Loan</v>
      </c>
      <c r="Q17" s="1">
        <f t="shared" si="5"/>
        <v>0</v>
      </c>
      <c r="U17" s="1" t="s">
        <v>566</v>
      </c>
      <c r="V17" s="1">
        <f>PERCENTILE($D$2:$D$501,0.5)</f>
        <v>59736.5</v>
      </c>
    </row>
    <row r="18" spans="1:22" x14ac:dyDescent="0.3">
      <c r="A18" s="1" t="s">
        <v>42</v>
      </c>
      <c r="B18" s="1">
        <v>2</v>
      </c>
      <c r="C18" s="1" t="s">
        <v>20</v>
      </c>
      <c r="D18" s="1">
        <v>82552</v>
      </c>
      <c r="E18" s="1">
        <v>5200</v>
      </c>
      <c r="F18" s="2">
        <v>45951</v>
      </c>
      <c r="G18" s="2">
        <v>45951</v>
      </c>
      <c r="H18" s="1">
        <v>0</v>
      </c>
      <c r="I18" s="1" t="s">
        <v>28</v>
      </c>
      <c r="J18" s="1" t="s">
        <v>22</v>
      </c>
      <c r="K18" s="1" t="s">
        <v>32</v>
      </c>
      <c r="L18" s="1">
        <f t="shared" si="0"/>
        <v>0</v>
      </c>
      <c r="M18" s="1" t="str">
        <f t="shared" si="1"/>
        <v>On Time</v>
      </c>
      <c r="N18" s="1" t="str">
        <f t="shared" si="2"/>
        <v>Low</v>
      </c>
      <c r="O18" s="1">
        <f t="shared" si="3"/>
        <v>0</v>
      </c>
      <c r="P18" s="1" t="str">
        <f t="shared" si="4"/>
        <v>Very High Loan</v>
      </c>
      <c r="Q18" s="1">
        <f t="shared" si="5"/>
        <v>1</v>
      </c>
      <c r="U18" s="1" t="s">
        <v>567</v>
      </c>
      <c r="V18" s="1">
        <f>PERCENTILE($D$2:$D$501,0.75)</f>
        <v>80351.5</v>
      </c>
    </row>
    <row r="19" spans="1:22" x14ac:dyDescent="0.3">
      <c r="A19" s="1" t="s">
        <v>43</v>
      </c>
      <c r="B19" s="1">
        <v>2</v>
      </c>
      <c r="C19" s="1" t="s">
        <v>12</v>
      </c>
      <c r="D19" s="1">
        <v>97454</v>
      </c>
      <c r="E19" s="1">
        <v>13900</v>
      </c>
      <c r="F19" s="2">
        <v>45942</v>
      </c>
      <c r="G19" s="2">
        <v>45949</v>
      </c>
      <c r="H19" s="1">
        <v>7</v>
      </c>
      <c r="I19" s="1" t="s">
        <v>28</v>
      </c>
      <c r="J19" s="1" t="s">
        <v>22</v>
      </c>
      <c r="K19" s="1" t="s">
        <v>44</v>
      </c>
      <c r="L19" s="1">
        <f t="shared" si="0"/>
        <v>1</v>
      </c>
      <c r="M19" s="1" t="str">
        <f t="shared" si="1"/>
        <v>Delayed</v>
      </c>
      <c r="N19" s="1" t="str">
        <f t="shared" si="2"/>
        <v>Medium</v>
      </c>
      <c r="O19" s="1">
        <f t="shared" si="3"/>
        <v>0</v>
      </c>
      <c r="P19" s="1" t="str">
        <f t="shared" si="4"/>
        <v>Very High Loan</v>
      </c>
      <c r="Q19" s="1">
        <f t="shared" si="5"/>
        <v>0</v>
      </c>
    </row>
    <row r="20" spans="1:22" x14ac:dyDescent="0.3">
      <c r="A20" s="1" t="s">
        <v>45</v>
      </c>
      <c r="B20" s="1">
        <v>2</v>
      </c>
      <c r="C20" s="1" t="s">
        <v>30</v>
      </c>
      <c r="D20" s="1">
        <v>47935</v>
      </c>
      <c r="E20" s="1">
        <v>2100</v>
      </c>
      <c r="F20" s="2">
        <v>45949</v>
      </c>
      <c r="G20" s="2">
        <v>45949</v>
      </c>
      <c r="H20" s="1">
        <v>0</v>
      </c>
      <c r="I20" s="1" t="s">
        <v>13</v>
      </c>
      <c r="J20" s="1" t="s">
        <v>22</v>
      </c>
      <c r="K20" s="1" t="s">
        <v>32</v>
      </c>
      <c r="L20" s="1">
        <f t="shared" si="0"/>
        <v>0</v>
      </c>
      <c r="M20" s="1" t="str">
        <f t="shared" si="1"/>
        <v>On Time</v>
      </c>
      <c r="N20" s="1" t="str">
        <f t="shared" si="2"/>
        <v>Low</v>
      </c>
      <c r="O20" s="1">
        <f t="shared" si="3"/>
        <v>0</v>
      </c>
      <c r="P20" s="1" t="str">
        <f t="shared" si="4"/>
        <v>Mid Loan</v>
      </c>
      <c r="Q20" s="1">
        <f t="shared" si="5"/>
        <v>1</v>
      </c>
    </row>
    <row r="21" spans="1:22" x14ac:dyDescent="0.3">
      <c r="A21" s="1" t="s">
        <v>46</v>
      </c>
      <c r="B21" s="1">
        <v>2</v>
      </c>
      <c r="C21" s="1" t="s">
        <v>20</v>
      </c>
      <c r="D21" s="1">
        <v>57641</v>
      </c>
      <c r="E21" s="1">
        <v>4800</v>
      </c>
      <c r="F21" s="2">
        <v>45944</v>
      </c>
      <c r="G21" s="2">
        <v>46004</v>
      </c>
      <c r="H21" s="1">
        <v>60</v>
      </c>
      <c r="I21" s="1" t="s">
        <v>21</v>
      </c>
      <c r="J21" s="1" t="s">
        <v>22</v>
      </c>
      <c r="K21" s="1" t="s">
        <v>15</v>
      </c>
      <c r="L21" s="1">
        <f t="shared" si="0"/>
        <v>1</v>
      </c>
      <c r="M21" s="1" t="str">
        <f t="shared" si="1"/>
        <v>Delayed</v>
      </c>
      <c r="N21" s="1" t="str">
        <f t="shared" si="2"/>
        <v>High</v>
      </c>
      <c r="O21" s="1">
        <f t="shared" si="3"/>
        <v>0</v>
      </c>
      <c r="P21" s="1" t="str">
        <f t="shared" si="4"/>
        <v>Mid Loan</v>
      </c>
      <c r="Q21" s="1">
        <f t="shared" si="5"/>
        <v>0</v>
      </c>
    </row>
    <row r="22" spans="1:22" x14ac:dyDescent="0.3">
      <c r="A22" s="1" t="s">
        <v>47</v>
      </c>
      <c r="B22" s="1">
        <v>2</v>
      </c>
      <c r="C22" s="1" t="s">
        <v>12</v>
      </c>
      <c r="D22" s="1">
        <v>49711</v>
      </c>
      <c r="E22" s="1">
        <v>2500</v>
      </c>
      <c r="F22" s="2">
        <v>45947</v>
      </c>
      <c r="G22" s="2">
        <v>45947</v>
      </c>
      <c r="H22" s="1">
        <v>0</v>
      </c>
      <c r="I22" s="1" t="s">
        <v>21</v>
      </c>
      <c r="J22" s="1" t="s">
        <v>22</v>
      </c>
      <c r="K22" s="1" t="s">
        <v>34</v>
      </c>
      <c r="L22" s="1">
        <f t="shared" si="0"/>
        <v>0</v>
      </c>
      <c r="M22" s="1" t="str">
        <f t="shared" si="1"/>
        <v>On Time</v>
      </c>
      <c r="N22" s="1" t="str">
        <f t="shared" si="2"/>
        <v>Low</v>
      </c>
      <c r="O22" s="1">
        <f t="shared" si="3"/>
        <v>0</v>
      </c>
      <c r="P22" s="1" t="str">
        <f t="shared" si="4"/>
        <v>Mid Loan</v>
      </c>
      <c r="Q22" s="1">
        <f t="shared" si="5"/>
        <v>1</v>
      </c>
    </row>
    <row r="23" spans="1:22" x14ac:dyDescent="0.3">
      <c r="A23" s="1" t="s">
        <v>48</v>
      </c>
      <c r="B23" s="1">
        <v>1</v>
      </c>
      <c r="C23" s="1" t="s">
        <v>20</v>
      </c>
      <c r="D23" s="1">
        <v>90342</v>
      </c>
      <c r="E23" s="1">
        <v>5600</v>
      </c>
      <c r="F23" s="2">
        <v>45954</v>
      </c>
      <c r="G23" s="2">
        <v>45954</v>
      </c>
      <c r="H23" s="1">
        <v>0</v>
      </c>
      <c r="I23" s="1" t="s">
        <v>28</v>
      </c>
      <c r="J23" s="1" t="s">
        <v>22</v>
      </c>
      <c r="K23" s="1" t="s">
        <v>32</v>
      </c>
      <c r="L23" s="1">
        <f t="shared" si="0"/>
        <v>0</v>
      </c>
      <c r="M23" s="1" t="str">
        <f t="shared" si="1"/>
        <v>On Time</v>
      </c>
      <c r="N23" s="1" t="str">
        <f t="shared" si="2"/>
        <v>Low</v>
      </c>
      <c r="O23" s="1">
        <f t="shared" si="3"/>
        <v>0</v>
      </c>
      <c r="P23" s="1" t="str">
        <f t="shared" si="4"/>
        <v>Very High Loan</v>
      </c>
      <c r="Q23" s="1">
        <f t="shared" si="5"/>
        <v>1</v>
      </c>
    </row>
    <row r="24" spans="1:22" x14ac:dyDescent="0.3">
      <c r="A24" s="1" t="s">
        <v>49</v>
      </c>
      <c r="B24" s="1">
        <v>2</v>
      </c>
      <c r="C24" s="1" t="s">
        <v>30</v>
      </c>
      <c r="D24" s="1">
        <v>32182</v>
      </c>
      <c r="E24" s="1">
        <v>1400</v>
      </c>
      <c r="F24" s="2">
        <v>45951</v>
      </c>
      <c r="G24" s="2">
        <v>45958</v>
      </c>
      <c r="H24" s="1">
        <v>7</v>
      </c>
      <c r="I24" s="1" t="s">
        <v>21</v>
      </c>
      <c r="J24" s="1" t="s">
        <v>22</v>
      </c>
      <c r="K24" s="1" t="s">
        <v>32</v>
      </c>
      <c r="L24" s="1">
        <f t="shared" si="0"/>
        <v>1</v>
      </c>
      <c r="M24" s="1" t="str">
        <f t="shared" si="1"/>
        <v>Delayed</v>
      </c>
      <c r="N24" s="1" t="str">
        <f t="shared" si="2"/>
        <v>Medium</v>
      </c>
      <c r="O24" s="1">
        <f t="shared" si="3"/>
        <v>0</v>
      </c>
      <c r="P24" s="1" t="str">
        <f t="shared" si="4"/>
        <v>Low Loan</v>
      </c>
      <c r="Q24" s="1">
        <f t="shared" si="5"/>
        <v>0</v>
      </c>
    </row>
    <row r="25" spans="1:22" x14ac:dyDescent="0.3">
      <c r="A25" s="1" t="s">
        <v>50</v>
      </c>
      <c r="B25" s="1">
        <v>2</v>
      </c>
      <c r="C25" s="1" t="s">
        <v>12</v>
      </c>
      <c r="D25" s="1">
        <v>76276</v>
      </c>
      <c r="E25" s="1">
        <v>4500</v>
      </c>
      <c r="F25" s="2">
        <v>45933</v>
      </c>
      <c r="G25" s="2">
        <v>45933</v>
      </c>
      <c r="H25" s="1">
        <v>0</v>
      </c>
      <c r="I25" s="1" t="s">
        <v>21</v>
      </c>
      <c r="J25" s="1" t="s">
        <v>14</v>
      </c>
      <c r="K25" s="1" t="s">
        <v>26</v>
      </c>
      <c r="L25" s="1">
        <f t="shared" si="0"/>
        <v>0</v>
      </c>
      <c r="M25" s="1" t="str">
        <f t="shared" si="1"/>
        <v>On Time</v>
      </c>
      <c r="N25" s="1" t="str">
        <f t="shared" si="2"/>
        <v>Low</v>
      </c>
      <c r="O25" s="1">
        <f t="shared" si="3"/>
        <v>1</v>
      </c>
      <c r="P25" s="1" t="str">
        <f t="shared" si="4"/>
        <v>High Loan</v>
      </c>
      <c r="Q25" s="1">
        <f t="shared" si="5"/>
        <v>1</v>
      </c>
    </row>
    <row r="26" spans="1:22" x14ac:dyDescent="0.3">
      <c r="A26" s="1" t="s">
        <v>51</v>
      </c>
      <c r="B26" s="1">
        <v>2</v>
      </c>
      <c r="C26" s="1" t="s">
        <v>12</v>
      </c>
      <c r="D26" s="1">
        <v>39541</v>
      </c>
      <c r="E26" s="1">
        <v>3600</v>
      </c>
      <c r="F26" s="2">
        <v>45956</v>
      </c>
      <c r="G26" s="2">
        <v>46016</v>
      </c>
      <c r="H26" s="1">
        <v>60</v>
      </c>
      <c r="I26" s="1" t="s">
        <v>21</v>
      </c>
      <c r="J26" s="1" t="s">
        <v>14</v>
      </c>
      <c r="K26" s="1" t="s">
        <v>34</v>
      </c>
      <c r="L26" s="1">
        <f t="shared" si="0"/>
        <v>1</v>
      </c>
      <c r="M26" s="1" t="str">
        <f t="shared" si="1"/>
        <v>Delayed</v>
      </c>
      <c r="N26" s="1" t="str">
        <f t="shared" si="2"/>
        <v>High</v>
      </c>
      <c r="O26" s="1">
        <f t="shared" si="3"/>
        <v>1</v>
      </c>
      <c r="P26" s="1" t="str">
        <f t="shared" si="4"/>
        <v>Low Loan</v>
      </c>
      <c r="Q26" s="1">
        <f t="shared" si="5"/>
        <v>0</v>
      </c>
    </row>
    <row r="27" spans="1:22" x14ac:dyDescent="0.3">
      <c r="A27" s="1" t="s">
        <v>52</v>
      </c>
      <c r="B27" s="1">
        <v>3</v>
      </c>
      <c r="C27" s="1" t="s">
        <v>20</v>
      </c>
      <c r="D27" s="1">
        <v>64813</v>
      </c>
      <c r="E27" s="1">
        <v>3600</v>
      </c>
      <c r="F27" s="2">
        <v>45960</v>
      </c>
      <c r="G27" s="2">
        <v>46005</v>
      </c>
      <c r="H27" s="1">
        <v>45</v>
      </c>
      <c r="I27" s="1" t="s">
        <v>28</v>
      </c>
      <c r="J27" s="1" t="s">
        <v>22</v>
      </c>
      <c r="K27" s="1" t="s">
        <v>34</v>
      </c>
      <c r="L27" s="1">
        <f t="shared" si="0"/>
        <v>1</v>
      </c>
      <c r="M27" s="1" t="str">
        <f t="shared" si="1"/>
        <v>Delayed</v>
      </c>
      <c r="N27" s="1" t="str">
        <f t="shared" si="2"/>
        <v>High</v>
      </c>
      <c r="O27" s="1">
        <f t="shared" si="3"/>
        <v>0</v>
      </c>
      <c r="P27" s="1" t="str">
        <f t="shared" si="4"/>
        <v>High Loan</v>
      </c>
      <c r="Q27" s="1">
        <f t="shared" si="5"/>
        <v>0</v>
      </c>
    </row>
    <row r="28" spans="1:22" x14ac:dyDescent="0.3">
      <c r="A28" s="1" t="s">
        <v>53</v>
      </c>
      <c r="B28" s="1">
        <v>1</v>
      </c>
      <c r="C28" s="1" t="s">
        <v>20</v>
      </c>
      <c r="D28" s="1">
        <v>57198</v>
      </c>
      <c r="E28" s="1">
        <v>2700</v>
      </c>
      <c r="F28" s="2">
        <v>45953</v>
      </c>
      <c r="G28" s="2">
        <v>45956</v>
      </c>
      <c r="H28" s="1">
        <v>3</v>
      </c>
      <c r="I28" s="1" t="s">
        <v>13</v>
      </c>
      <c r="J28" s="1" t="s">
        <v>22</v>
      </c>
      <c r="K28" s="1" t="s">
        <v>54</v>
      </c>
      <c r="L28" s="1">
        <f t="shared" si="0"/>
        <v>1</v>
      </c>
      <c r="M28" s="1" t="str">
        <f t="shared" si="1"/>
        <v>Delayed</v>
      </c>
      <c r="N28" s="1" t="str">
        <f t="shared" si="2"/>
        <v>Medium</v>
      </c>
      <c r="O28" s="1">
        <f t="shared" si="3"/>
        <v>0</v>
      </c>
      <c r="P28" s="1" t="str">
        <f t="shared" si="4"/>
        <v>Mid Loan</v>
      </c>
      <c r="Q28" s="1">
        <f t="shared" si="5"/>
        <v>0</v>
      </c>
    </row>
    <row r="29" spans="1:22" x14ac:dyDescent="0.3">
      <c r="A29" s="1" t="s">
        <v>55</v>
      </c>
      <c r="B29" s="1">
        <v>2</v>
      </c>
      <c r="C29" s="1" t="s">
        <v>20</v>
      </c>
      <c r="D29" s="1">
        <v>28820</v>
      </c>
      <c r="E29" s="1">
        <v>1300</v>
      </c>
      <c r="F29" s="2">
        <v>45937</v>
      </c>
      <c r="G29" s="2">
        <v>45937</v>
      </c>
      <c r="H29" s="1">
        <v>0</v>
      </c>
      <c r="I29" s="1" t="s">
        <v>21</v>
      </c>
      <c r="J29" s="1" t="s">
        <v>22</v>
      </c>
      <c r="K29" s="1" t="s">
        <v>56</v>
      </c>
      <c r="L29" s="1">
        <f t="shared" si="0"/>
        <v>0</v>
      </c>
      <c r="M29" s="1" t="str">
        <f t="shared" si="1"/>
        <v>On Time</v>
      </c>
      <c r="N29" s="1" t="str">
        <f t="shared" si="2"/>
        <v>Low</v>
      </c>
      <c r="O29" s="1">
        <f t="shared" si="3"/>
        <v>0</v>
      </c>
      <c r="P29" s="1" t="str">
        <f t="shared" si="4"/>
        <v>Low Loan</v>
      </c>
      <c r="Q29" s="1">
        <f t="shared" si="5"/>
        <v>1</v>
      </c>
    </row>
    <row r="30" spans="1:22" x14ac:dyDescent="0.3">
      <c r="A30" s="1" t="s">
        <v>57</v>
      </c>
      <c r="B30" s="1">
        <v>2</v>
      </c>
      <c r="C30" s="1" t="s">
        <v>20</v>
      </c>
      <c r="D30" s="1">
        <v>44070</v>
      </c>
      <c r="E30" s="1">
        <v>2900</v>
      </c>
      <c r="F30" s="2">
        <v>45947</v>
      </c>
      <c r="G30" s="2">
        <v>45950</v>
      </c>
      <c r="H30" s="1">
        <v>3</v>
      </c>
      <c r="I30" s="1" t="s">
        <v>21</v>
      </c>
      <c r="J30" s="1" t="s">
        <v>22</v>
      </c>
      <c r="K30" s="1" t="s">
        <v>15</v>
      </c>
      <c r="L30" s="1">
        <f t="shared" si="0"/>
        <v>1</v>
      </c>
      <c r="M30" s="1" t="str">
        <f t="shared" si="1"/>
        <v>Delayed</v>
      </c>
      <c r="N30" s="1" t="str">
        <f t="shared" si="2"/>
        <v>Medium</v>
      </c>
      <c r="O30" s="1">
        <f t="shared" si="3"/>
        <v>0</v>
      </c>
      <c r="P30" s="1" t="str">
        <f t="shared" si="4"/>
        <v>Mid Loan</v>
      </c>
      <c r="Q30" s="1">
        <f t="shared" si="5"/>
        <v>0</v>
      </c>
    </row>
    <row r="31" spans="1:22" x14ac:dyDescent="0.3">
      <c r="A31" s="1" t="s">
        <v>58</v>
      </c>
      <c r="B31" s="1">
        <v>1</v>
      </c>
      <c r="C31" s="1" t="s">
        <v>12</v>
      </c>
      <c r="D31" s="1">
        <v>89768</v>
      </c>
      <c r="E31" s="1">
        <v>6900</v>
      </c>
      <c r="F31" s="2">
        <v>45942</v>
      </c>
      <c r="G31" s="2">
        <v>45942</v>
      </c>
      <c r="H31" s="1">
        <v>0</v>
      </c>
      <c r="I31" s="1" t="s">
        <v>28</v>
      </c>
      <c r="J31" s="1" t="s">
        <v>14</v>
      </c>
      <c r="K31" s="1" t="s">
        <v>15</v>
      </c>
      <c r="L31" s="1">
        <f t="shared" si="0"/>
        <v>0</v>
      </c>
      <c r="M31" s="1" t="str">
        <f t="shared" si="1"/>
        <v>On Time</v>
      </c>
      <c r="N31" s="1" t="str">
        <f t="shared" si="2"/>
        <v>Low</v>
      </c>
      <c r="O31" s="1">
        <f t="shared" si="3"/>
        <v>1</v>
      </c>
      <c r="P31" s="1" t="str">
        <f t="shared" si="4"/>
        <v>Very High Loan</v>
      </c>
      <c r="Q31" s="1">
        <f t="shared" si="5"/>
        <v>1</v>
      </c>
    </row>
    <row r="32" spans="1:22" x14ac:dyDescent="0.3">
      <c r="A32" s="1" t="s">
        <v>59</v>
      </c>
      <c r="B32" s="1">
        <v>2</v>
      </c>
      <c r="C32" s="1" t="s">
        <v>12</v>
      </c>
      <c r="D32" s="1">
        <v>31122</v>
      </c>
      <c r="E32" s="1">
        <v>1400</v>
      </c>
      <c r="F32" s="2">
        <v>45939</v>
      </c>
      <c r="G32" s="2">
        <v>45939</v>
      </c>
      <c r="H32" s="1">
        <v>0</v>
      </c>
      <c r="I32" s="1" t="s">
        <v>17</v>
      </c>
      <c r="J32" s="1" t="s">
        <v>22</v>
      </c>
      <c r="K32" s="1" t="s">
        <v>34</v>
      </c>
      <c r="L32" s="1">
        <f t="shared" si="0"/>
        <v>0</v>
      </c>
      <c r="M32" s="1" t="str">
        <f t="shared" si="1"/>
        <v>On Time</v>
      </c>
      <c r="N32" s="1" t="str">
        <f t="shared" si="2"/>
        <v>Low</v>
      </c>
      <c r="O32" s="1">
        <f t="shared" si="3"/>
        <v>0</v>
      </c>
      <c r="P32" s="1" t="str">
        <f t="shared" si="4"/>
        <v>Low Loan</v>
      </c>
      <c r="Q32" s="1">
        <f t="shared" si="5"/>
        <v>1</v>
      </c>
    </row>
    <row r="33" spans="1:17" x14ac:dyDescent="0.3">
      <c r="A33" s="1" t="s">
        <v>60</v>
      </c>
      <c r="B33" s="1">
        <v>1</v>
      </c>
      <c r="C33" s="1" t="s">
        <v>30</v>
      </c>
      <c r="D33" s="1">
        <v>93543</v>
      </c>
      <c r="E33" s="1">
        <v>15600</v>
      </c>
      <c r="F33" s="2">
        <v>45945</v>
      </c>
      <c r="G33" s="2">
        <v>45960</v>
      </c>
      <c r="H33" s="1">
        <v>15</v>
      </c>
      <c r="I33" s="1" t="s">
        <v>21</v>
      </c>
      <c r="J33" s="1" t="s">
        <v>22</v>
      </c>
      <c r="K33" s="1" t="s">
        <v>56</v>
      </c>
      <c r="L33" s="1">
        <f t="shared" si="0"/>
        <v>1</v>
      </c>
      <c r="M33" s="1" t="str">
        <f t="shared" si="1"/>
        <v>Delayed</v>
      </c>
      <c r="N33" s="1" t="str">
        <f t="shared" si="2"/>
        <v>High</v>
      </c>
      <c r="O33" s="1">
        <f t="shared" si="3"/>
        <v>0</v>
      </c>
      <c r="P33" s="1" t="str">
        <f t="shared" si="4"/>
        <v>Very High Loan</v>
      </c>
      <c r="Q33" s="1">
        <f t="shared" si="5"/>
        <v>0</v>
      </c>
    </row>
    <row r="34" spans="1:17" x14ac:dyDescent="0.3">
      <c r="A34" s="1" t="s">
        <v>61</v>
      </c>
      <c r="B34" s="1">
        <v>1</v>
      </c>
      <c r="C34" s="1" t="s">
        <v>30</v>
      </c>
      <c r="D34" s="1">
        <v>61786</v>
      </c>
      <c r="E34" s="1">
        <v>4800</v>
      </c>
      <c r="F34" s="2">
        <v>45948</v>
      </c>
      <c r="G34" s="2">
        <v>45948</v>
      </c>
      <c r="H34" s="1">
        <v>0</v>
      </c>
      <c r="I34" s="1" t="s">
        <v>21</v>
      </c>
      <c r="J34" s="1" t="s">
        <v>14</v>
      </c>
      <c r="K34" s="1" t="s">
        <v>54</v>
      </c>
      <c r="L34" s="1">
        <f t="shared" si="0"/>
        <v>0</v>
      </c>
      <c r="M34" s="1" t="str">
        <f t="shared" si="1"/>
        <v>On Time</v>
      </c>
      <c r="N34" s="1" t="str">
        <f t="shared" si="2"/>
        <v>Low</v>
      </c>
      <c r="O34" s="1">
        <f t="shared" si="3"/>
        <v>1</v>
      </c>
      <c r="P34" s="1" t="str">
        <f t="shared" si="4"/>
        <v>High Loan</v>
      </c>
      <c r="Q34" s="1">
        <f t="shared" si="5"/>
        <v>1</v>
      </c>
    </row>
    <row r="35" spans="1:17" x14ac:dyDescent="0.3">
      <c r="A35" s="1" t="s">
        <v>62</v>
      </c>
      <c r="B35" s="1">
        <v>3</v>
      </c>
      <c r="C35" s="1" t="s">
        <v>12</v>
      </c>
      <c r="D35" s="1">
        <v>26737</v>
      </c>
      <c r="E35" s="1">
        <v>2400</v>
      </c>
      <c r="F35" s="2">
        <v>45951</v>
      </c>
      <c r="G35" s="2">
        <v>45951</v>
      </c>
      <c r="H35" s="1">
        <v>0</v>
      </c>
      <c r="I35" s="1" t="s">
        <v>28</v>
      </c>
      <c r="J35" s="1" t="s">
        <v>22</v>
      </c>
      <c r="K35" s="1" t="s">
        <v>34</v>
      </c>
      <c r="L35" s="1">
        <f t="shared" si="0"/>
        <v>0</v>
      </c>
      <c r="M35" s="1" t="str">
        <f t="shared" si="1"/>
        <v>On Time</v>
      </c>
      <c r="N35" s="1" t="str">
        <f t="shared" si="2"/>
        <v>Low</v>
      </c>
      <c r="O35" s="1">
        <f t="shared" si="3"/>
        <v>0</v>
      </c>
      <c r="P35" s="1" t="str">
        <f t="shared" si="4"/>
        <v>Low Loan</v>
      </c>
      <c r="Q35" s="1">
        <f t="shared" si="5"/>
        <v>1</v>
      </c>
    </row>
    <row r="36" spans="1:17" x14ac:dyDescent="0.3">
      <c r="A36" s="1" t="s">
        <v>63</v>
      </c>
      <c r="B36" s="1">
        <v>3</v>
      </c>
      <c r="C36" s="1" t="s">
        <v>12</v>
      </c>
      <c r="D36" s="1">
        <v>56062</v>
      </c>
      <c r="E36" s="1">
        <v>5600</v>
      </c>
      <c r="F36" s="2">
        <v>45943</v>
      </c>
      <c r="G36" s="2">
        <v>45988</v>
      </c>
      <c r="H36" s="1">
        <v>45</v>
      </c>
      <c r="I36" s="1" t="s">
        <v>13</v>
      </c>
      <c r="J36" s="1" t="s">
        <v>14</v>
      </c>
      <c r="K36" s="1" t="s">
        <v>23</v>
      </c>
      <c r="L36" s="1">
        <f t="shared" si="0"/>
        <v>1</v>
      </c>
      <c r="M36" s="1" t="str">
        <f t="shared" si="1"/>
        <v>Delayed</v>
      </c>
      <c r="N36" s="1" t="str">
        <f t="shared" si="2"/>
        <v>High</v>
      </c>
      <c r="O36" s="1">
        <f t="shared" si="3"/>
        <v>1</v>
      </c>
      <c r="P36" s="1" t="str">
        <f t="shared" si="4"/>
        <v>Mid Loan</v>
      </c>
      <c r="Q36" s="1">
        <f t="shared" si="5"/>
        <v>0</v>
      </c>
    </row>
    <row r="37" spans="1:17" x14ac:dyDescent="0.3">
      <c r="A37" s="1" t="s">
        <v>64</v>
      </c>
      <c r="B37" s="1">
        <v>3</v>
      </c>
      <c r="C37" s="1" t="s">
        <v>30</v>
      </c>
      <c r="D37" s="1">
        <v>74237</v>
      </c>
      <c r="E37" s="1">
        <v>3700</v>
      </c>
      <c r="F37" s="2">
        <v>45960</v>
      </c>
      <c r="G37" s="2">
        <v>45960</v>
      </c>
      <c r="H37" s="1">
        <v>0</v>
      </c>
      <c r="I37" s="1" t="s">
        <v>28</v>
      </c>
      <c r="J37" s="1" t="s">
        <v>22</v>
      </c>
      <c r="K37" s="1" t="s">
        <v>26</v>
      </c>
      <c r="L37" s="1">
        <f t="shared" si="0"/>
        <v>0</v>
      </c>
      <c r="M37" s="1" t="str">
        <f t="shared" si="1"/>
        <v>On Time</v>
      </c>
      <c r="N37" s="1" t="str">
        <f t="shared" si="2"/>
        <v>Low</v>
      </c>
      <c r="O37" s="1">
        <f t="shared" si="3"/>
        <v>0</v>
      </c>
      <c r="P37" s="1" t="str">
        <f t="shared" si="4"/>
        <v>High Loan</v>
      </c>
      <c r="Q37" s="1">
        <f t="shared" si="5"/>
        <v>1</v>
      </c>
    </row>
    <row r="38" spans="1:17" x14ac:dyDescent="0.3">
      <c r="A38" s="1" t="s">
        <v>65</v>
      </c>
      <c r="B38" s="1">
        <v>2</v>
      </c>
      <c r="C38" s="1" t="s">
        <v>12</v>
      </c>
      <c r="D38" s="1">
        <v>71571</v>
      </c>
      <c r="E38" s="1">
        <v>3600</v>
      </c>
      <c r="F38" s="2">
        <v>45951</v>
      </c>
      <c r="G38" s="2">
        <v>45951</v>
      </c>
      <c r="H38" s="1">
        <v>0</v>
      </c>
      <c r="I38" s="1" t="s">
        <v>17</v>
      </c>
      <c r="J38" s="1" t="s">
        <v>22</v>
      </c>
      <c r="K38" s="1" t="s">
        <v>54</v>
      </c>
      <c r="L38" s="1">
        <f t="shared" si="0"/>
        <v>0</v>
      </c>
      <c r="M38" s="1" t="str">
        <f t="shared" si="1"/>
        <v>On Time</v>
      </c>
      <c r="N38" s="1" t="str">
        <f t="shared" si="2"/>
        <v>Low</v>
      </c>
      <c r="O38" s="1">
        <f t="shared" si="3"/>
        <v>0</v>
      </c>
      <c r="P38" s="1" t="str">
        <f t="shared" si="4"/>
        <v>High Loan</v>
      </c>
      <c r="Q38" s="1">
        <f t="shared" si="5"/>
        <v>1</v>
      </c>
    </row>
    <row r="39" spans="1:17" x14ac:dyDescent="0.3">
      <c r="A39" s="1" t="s">
        <v>66</v>
      </c>
      <c r="B39" s="1">
        <v>1</v>
      </c>
      <c r="C39" s="1" t="s">
        <v>20</v>
      </c>
      <c r="D39" s="1">
        <v>45510</v>
      </c>
      <c r="E39" s="1">
        <v>6500</v>
      </c>
      <c r="F39" s="2">
        <v>45960</v>
      </c>
      <c r="G39" s="2">
        <v>45990</v>
      </c>
      <c r="H39" s="1">
        <v>30</v>
      </c>
      <c r="I39" s="1" t="s">
        <v>21</v>
      </c>
      <c r="J39" s="1" t="s">
        <v>22</v>
      </c>
      <c r="K39" s="1" t="s">
        <v>56</v>
      </c>
      <c r="L39" s="1">
        <f t="shared" si="0"/>
        <v>1</v>
      </c>
      <c r="M39" s="1" t="str">
        <f t="shared" si="1"/>
        <v>Delayed</v>
      </c>
      <c r="N39" s="1" t="str">
        <f t="shared" si="2"/>
        <v>High</v>
      </c>
      <c r="O39" s="1">
        <f t="shared" si="3"/>
        <v>0</v>
      </c>
      <c r="P39" s="1" t="str">
        <f t="shared" si="4"/>
        <v>Mid Loan</v>
      </c>
      <c r="Q39" s="1">
        <f t="shared" si="5"/>
        <v>0</v>
      </c>
    </row>
    <row r="40" spans="1:17" x14ac:dyDescent="0.3">
      <c r="A40" s="1" t="s">
        <v>67</v>
      </c>
      <c r="B40" s="1">
        <v>2</v>
      </c>
      <c r="C40" s="1" t="s">
        <v>20</v>
      </c>
      <c r="D40" s="1">
        <v>39426</v>
      </c>
      <c r="E40" s="1">
        <v>6600</v>
      </c>
      <c r="F40" s="2">
        <v>45938</v>
      </c>
      <c r="G40" s="2">
        <v>45938</v>
      </c>
      <c r="H40" s="1">
        <v>0</v>
      </c>
      <c r="I40" s="1" t="s">
        <v>28</v>
      </c>
      <c r="J40" s="1" t="s">
        <v>22</v>
      </c>
      <c r="K40" s="1" t="s">
        <v>26</v>
      </c>
      <c r="L40" s="1">
        <f t="shared" si="0"/>
        <v>0</v>
      </c>
      <c r="M40" s="1" t="str">
        <f t="shared" si="1"/>
        <v>On Time</v>
      </c>
      <c r="N40" s="1" t="str">
        <f t="shared" si="2"/>
        <v>Low</v>
      </c>
      <c r="O40" s="1">
        <f t="shared" si="3"/>
        <v>0</v>
      </c>
      <c r="P40" s="1" t="str">
        <f t="shared" si="4"/>
        <v>Low Loan</v>
      </c>
      <c r="Q40" s="1">
        <f t="shared" si="5"/>
        <v>1</v>
      </c>
    </row>
    <row r="41" spans="1:17" x14ac:dyDescent="0.3">
      <c r="A41" s="1" t="s">
        <v>68</v>
      </c>
      <c r="B41" s="1">
        <v>2</v>
      </c>
      <c r="C41" s="1" t="s">
        <v>20</v>
      </c>
      <c r="D41" s="1">
        <v>57265</v>
      </c>
      <c r="E41" s="1">
        <v>3600</v>
      </c>
      <c r="F41" s="2">
        <v>45944</v>
      </c>
      <c r="G41" s="2">
        <v>45951</v>
      </c>
      <c r="H41" s="1">
        <v>7</v>
      </c>
      <c r="I41" s="1" t="s">
        <v>17</v>
      </c>
      <c r="J41" s="1" t="s">
        <v>22</v>
      </c>
      <c r="K41" s="1" t="s">
        <v>56</v>
      </c>
      <c r="L41" s="1">
        <f t="shared" si="0"/>
        <v>1</v>
      </c>
      <c r="M41" s="1" t="str">
        <f t="shared" si="1"/>
        <v>Delayed</v>
      </c>
      <c r="N41" s="1" t="str">
        <f t="shared" si="2"/>
        <v>Medium</v>
      </c>
      <c r="O41" s="1">
        <f t="shared" si="3"/>
        <v>0</v>
      </c>
      <c r="P41" s="1" t="str">
        <f t="shared" si="4"/>
        <v>Mid Loan</v>
      </c>
      <c r="Q41" s="1">
        <f t="shared" si="5"/>
        <v>0</v>
      </c>
    </row>
    <row r="42" spans="1:17" x14ac:dyDescent="0.3">
      <c r="A42" s="1" t="s">
        <v>69</v>
      </c>
      <c r="B42" s="1">
        <v>1</v>
      </c>
      <c r="C42" s="1" t="s">
        <v>30</v>
      </c>
      <c r="D42" s="1">
        <v>37850</v>
      </c>
      <c r="E42" s="1">
        <v>2500</v>
      </c>
      <c r="F42" s="2">
        <v>45938</v>
      </c>
      <c r="G42" s="2">
        <v>45998</v>
      </c>
      <c r="H42" s="1">
        <v>60</v>
      </c>
      <c r="I42" s="1" t="s">
        <v>28</v>
      </c>
      <c r="J42" s="1" t="s">
        <v>22</v>
      </c>
      <c r="K42" s="1" t="s">
        <v>70</v>
      </c>
      <c r="L42" s="1">
        <f t="shared" si="0"/>
        <v>1</v>
      </c>
      <c r="M42" s="1" t="str">
        <f t="shared" si="1"/>
        <v>Delayed</v>
      </c>
      <c r="N42" s="1" t="str">
        <f t="shared" si="2"/>
        <v>High</v>
      </c>
      <c r="O42" s="1">
        <f t="shared" si="3"/>
        <v>0</v>
      </c>
      <c r="P42" s="1" t="str">
        <f t="shared" si="4"/>
        <v>Low Loan</v>
      </c>
      <c r="Q42" s="1">
        <f t="shared" si="5"/>
        <v>0</v>
      </c>
    </row>
    <row r="43" spans="1:17" x14ac:dyDescent="0.3">
      <c r="A43" s="1" t="s">
        <v>71</v>
      </c>
      <c r="B43" s="1">
        <v>2</v>
      </c>
      <c r="C43" s="1" t="s">
        <v>12</v>
      </c>
      <c r="D43" s="1">
        <v>86150</v>
      </c>
      <c r="E43" s="1">
        <v>3700</v>
      </c>
      <c r="F43" s="2">
        <v>45944</v>
      </c>
      <c r="G43" s="2">
        <v>45974</v>
      </c>
      <c r="H43" s="1">
        <v>30</v>
      </c>
      <c r="I43" s="1" t="s">
        <v>13</v>
      </c>
      <c r="J43" s="1" t="s">
        <v>14</v>
      </c>
      <c r="K43" s="1" t="s">
        <v>70</v>
      </c>
      <c r="L43" s="1">
        <f t="shared" si="0"/>
        <v>1</v>
      </c>
      <c r="M43" s="1" t="str">
        <f t="shared" si="1"/>
        <v>Delayed</v>
      </c>
      <c r="N43" s="1" t="str">
        <f t="shared" si="2"/>
        <v>High</v>
      </c>
      <c r="O43" s="1">
        <f t="shared" si="3"/>
        <v>1</v>
      </c>
      <c r="P43" s="1" t="str">
        <f t="shared" si="4"/>
        <v>Very High Loan</v>
      </c>
      <c r="Q43" s="1">
        <f t="shared" si="5"/>
        <v>0</v>
      </c>
    </row>
    <row r="44" spans="1:17" x14ac:dyDescent="0.3">
      <c r="A44" s="1" t="s">
        <v>72</v>
      </c>
      <c r="B44" s="1">
        <v>1</v>
      </c>
      <c r="C44" s="1" t="s">
        <v>20</v>
      </c>
      <c r="D44" s="1">
        <v>94910</v>
      </c>
      <c r="E44" s="1">
        <v>4100</v>
      </c>
      <c r="F44" s="2">
        <v>45937</v>
      </c>
      <c r="G44" s="2">
        <v>45940</v>
      </c>
      <c r="H44" s="1">
        <v>3</v>
      </c>
      <c r="I44" s="1" t="s">
        <v>13</v>
      </c>
      <c r="J44" s="1" t="s">
        <v>22</v>
      </c>
      <c r="K44" s="1" t="s">
        <v>18</v>
      </c>
      <c r="L44" s="1">
        <f t="shared" si="0"/>
        <v>1</v>
      </c>
      <c r="M44" s="1" t="str">
        <f t="shared" si="1"/>
        <v>Delayed</v>
      </c>
      <c r="N44" s="1" t="str">
        <f t="shared" si="2"/>
        <v>Medium</v>
      </c>
      <c r="O44" s="1">
        <f t="shared" si="3"/>
        <v>0</v>
      </c>
      <c r="P44" s="1" t="str">
        <f t="shared" si="4"/>
        <v>Very High Loan</v>
      </c>
      <c r="Q44" s="1">
        <f t="shared" si="5"/>
        <v>0</v>
      </c>
    </row>
    <row r="45" spans="1:17" x14ac:dyDescent="0.3">
      <c r="A45" s="1" t="s">
        <v>73</v>
      </c>
      <c r="B45" s="1">
        <v>3</v>
      </c>
      <c r="C45" s="1" t="s">
        <v>12</v>
      </c>
      <c r="D45" s="1">
        <v>72375</v>
      </c>
      <c r="E45" s="1">
        <v>3300</v>
      </c>
      <c r="F45" s="2">
        <v>45953</v>
      </c>
      <c r="G45" s="2">
        <v>45953</v>
      </c>
      <c r="H45" s="1">
        <v>0</v>
      </c>
      <c r="I45" s="1" t="s">
        <v>13</v>
      </c>
      <c r="J45" s="1" t="s">
        <v>22</v>
      </c>
      <c r="K45" s="1" t="s">
        <v>70</v>
      </c>
      <c r="L45" s="1">
        <f t="shared" si="0"/>
        <v>0</v>
      </c>
      <c r="M45" s="1" t="str">
        <f t="shared" si="1"/>
        <v>On Time</v>
      </c>
      <c r="N45" s="1" t="str">
        <f t="shared" si="2"/>
        <v>Low</v>
      </c>
      <c r="O45" s="1">
        <f t="shared" si="3"/>
        <v>0</v>
      </c>
      <c r="P45" s="1" t="str">
        <f t="shared" si="4"/>
        <v>High Loan</v>
      </c>
      <c r="Q45" s="1">
        <f t="shared" si="5"/>
        <v>1</v>
      </c>
    </row>
    <row r="46" spans="1:17" x14ac:dyDescent="0.3">
      <c r="A46" s="1" t="s">
        <v>74</v>
      </c>
      <c r="B46" s="1">
        <v>2</v>
      </c>
      <c r="C46" s="1" t="s">
        <v>12</v>
      </c>
      <c r="D46" s="1">
        <v>55435</v>
      </c>
      <c r="E46" s="1">
        <v>4300</v>
      </c>
      <c r="F46" s="2">
        <v>45942</v>
      </c>
      <c r="G46" s="2">
        <v>45942</v>
      </c>
      <c r="H46" s="1">
        <v>0</v>
      </c>
      <c r="I46" s="1" t="s">
        <v>28</v>
      </c>
      <c r="J46" s="1" t="s">
        <v>22</v>
      </c>
      <c r="K46" s="1" t="s">
        <v>15</v>
      </c>
      <c r="L46" s="1">
        <f t="shared" si="0"/>
        <v>0</v>
      </c>
      <c r="M46" s="1" t="str">
        <f t="shared" si="1"/>
        <v>On Time</v>
      </c>
      <c r="N46" s="1" t="str">
        <f t="shared" si="2"/>
        <v>Low</v>
      </c>
      <c r="O46" s="1">
        <f t="shared" si="3"/>
        <v>0</v>
      </c>
      <c r="P46" s="1" t="str">
        <f t="shared" si="4"/>
        <v>Mid Loan</v>
      </c>
      <c r="Q46" s="1">
        <f t="shared" si="5"/>
        <v>1</v>
      </c>
    </row>
    <row r="47" spans="1:17" x14ac:dyDescent="0.3">
      <c r="A47" s="1" t="s">
        <v>75</v>
      </c>
      <c r="B47" s="1">
        <v>2</v>
      </c>
      <c r="C47" s="1" t="s">
        <v>20</v>
      </c>
      <c r="D47" s="1">
        <v>77132</v>
      </c>
      <c r="E47" s="1">
        <v>3900</v>
      </c>
      <c r="F47" s="2">
        <v>45941</v>
      </c>
      <c r="G47" s="2">
        <v>45956</v>
      </c>
      <c r="H47" s="1">
        <v>15</v>
      </c>
      <c r="I47" s="1" t="s">
        <v>17</v>
      </c>
      <c r="J47" s="1" t="s">
        <v>22</v>
      </c>
      <c r="K47" s="1" t="s">
        <v>56</v>
      </c>
      <c r="L47" s="1">
        <f t="shared" si="0"/>
        <v>1</v>
      </c>
      <c r="M47" s="1" t="str">
        <f t="shared" si="1"/>
        <v>Delayed</v>
      </c>
      <c r="N47" s="1" t="str">
        <f t="shared" si="2"/>
        <v>High</v>
      </c>
      <c r="O47" s="1">
        <f t="shared" si="3"/>
        <v>0</v>
      </c>
      <c r="P47" s="1" t="str">
        <f t="shared" si="4"/>
        <v>High Loan</v>
      </c>
      <c r="Q47" s="1">
        <f t="shared" si="5"/>
        <v>0</v>
      </c>
    </row>
    <row r="48" spans="1:17" x14ac:dyDescent="0.3">
      <c r="A48" s="1" t="s">
        <v>76</v>
      </c>
      <c r="B48" s="1">
        <v>2</v>
      </c>
      <c r="C48" s="1" t="s">
        <v>20</v>
      </c>
      <c r="D48" s="1">
        <v>98945</v>
      </c>
      <c r="E48" s="1">
        <v>7600</v>
      </c>
      <c r="F48" s="2">
        <v>45952</v>
      </c>
      <c r="G48" s="2">
        <v>45982</v>
      </c>
      <c r="H48" s="1">
        <v>30</v>
      </c>
      <c r="I48" s="1" t="s">
        <v>21</v>
      </c>
      <c r="J48" s="1" t="s">
        <v>14</v>
      </c>
      <c r="K48" s="1" t="s">
        <v>18</v>
      </c>
      <c r="L48" s="1">
        <f t="shared" si="0"/>
        <v>1</v>
      </c>
      <c r="M48" s="1" t="str">
        <f t="shared" si="1"/>
        <v>Delayed</v>
      </c>
      <c r="N48" s="1" t="str">
        <f t="shared" si="2"/>
        <v>High</v>
      </c>
      <c r="O48" s="1">
        <f t="shared" si="3"/>
        <v>1</v>
      </c>
      <c r="P48" s="1" t="str">
        <f t="shared" si="4"/>
        <v>Very High Loan</v>
      </c>
      <c r="Q48" s="1">
        <f t="shared" si="5"/>
        <v>0</v>
      </c>
    </row>
    <row r="49" spans="1:17" x14ac:dyDescent="0.3">
      <c r="A49" s="1" t="s">
        <v>77</v>
      </c>
      <c r="B49" s="1">
        <v>2</v>
      </c>
      <c r="C49" s="1" t="s">
        <v>12</v>
      </c>
      <c r="D49" s="1">
        <v>22983</v>
      </c>
      <c r="E49" s="1">
        <v>1000</v>
      </c>
      <c r="F49" s="2">
        <v>45952</v>
      </c>
      <c r="G49" s="2">
        <v>45952</v>
      </c>
      <c r="H49" s="1">
        <v>0</v>
      </c>
      <c r="I49" s="1" t="s">
        <v>13</v>
      </c>
      <c r="J49" s="1" t="s">
        <v>22</v>
      </c>
      <c r="K49" s="1" t="s">
        <v>18</v>
      </c>
      <c r="L49" s="1">
        <f t="shared" si="0"/>
        <v>0</v>
      </c>
      <c r="M49" s="1" t="str">
        <f t="shared" si="1"/>
        <v>On Time</v>
      </c>
      <c r="N49" s="1" t="str">
        <f t="shared" si="2"/>
        <v>Low</v>
      </c>
      <c r="O49" s="1">
        <f t="shared" si="3"/>
        <v>0</v>
      </c>
      <c r="P49" s="1" t="str">
        <f t="shared" si="4"/>
        <v>Low Loan</v>
      </c>
      <c r="Q49" s="1">
        <f t="shared" si="5"/>
        <v>1</v>
      </c>
    </row>
    <row r="50" spans="1:17" x14ac:dyDescent="0.3">
      <c r="A50" s="1" t="s">
        <v>78</v>
      </c>
      <c r="B50" s="1">
        <v>2</v>
      </c>
      <c r="C50" s="1" t="s">
        <v>12</v>
      </c>
      <c r="D50" s="1">
        <v>40662</v>
      </c>
      <c r="E50" s="1">
        <v>2400</v>
      </c>
      <c r="F50" s="2">
        <v>45941</v>
      </c>
      <c r="G50" s="2">
        <v>45941</v>
      </c>
      <c r="H50" s="1">
        <v>0</v>
      </c>
      <c r="I50" s="1" t="s">
        <v>17</v>
      </c>
      <c r="J50" s="1" t="s">
        <v>22</v>
      </c>
      <c r="K50" s="1" t="s">
        <v>56</v>
      </c>
      <c r="L50" s="1">
        <f t="shared" si="0"/>
        <v>0</v>
      </c>
      <c r="M50" s="1" t="str">
        <f t="shared" si="1"/>
        <v>On Time</v>
      </c>
      <c r="N50" s="1" t="str">
        <f t="shared" si="2"/>
        <v>Low</v>
      </c>
      <c r="O50" s="1">
        <f t="shared" si="3"/>
        <v>0</v>
      </c>
      <c r="P50" s="1" t="str">
        <f t="shared" si="4"/>
        <v>Low Loan</v>
      </c>
      <c r="Q50" s="1">
        <f t="shared" si="5"/>
        <v>1</v>
      </c>
    </row>
    <row r="51" spans="1:17" x14ac:dyDescent="0.3">
      <c r="A51" s="1" t="s">
        <v>79</v>
      </c>
      <c r="B51" s="1">
        <v>1</v>
      </c>
      <c r="C51" s="1" t="s">
        <v>12</v>
      </c>
      <c r="D51" s="1">
        <v>43510</v>
      </c>
      <c r="E51" s="1">
        <v>3300</v>
      </c>
      <c r="F51" s="2">
        <v>45955</v>
      </c>
      <c r="G51" s="2">
        <v>45955</v>
      </c>
      <c r="H51" s="1">
        <v>0</v>
      </c>
      <c r="I51" s="1" t="s">
        <v>17</v>
      </c>
      <c r="J51" s="1" t="s">
        <v>14</v>
      </c>
      <c r="K51" s="1" t="s">
        <v>23</v>
      </c>
      <c r="L51" s="1">
        <f t="shared" si="0"/>
        <v>0</v>
      </c>
      <c r="M51" s="1" t="str">
        <f t="shared" si="1"/>
        <v>On Time</v>
      </c>
      <c r="N51" s="1" t="str">
        <f t="shared" si="2"/>
        <v>Low</v>
      </c>
      <c r="O51" s="1">
        <f t="shared" si="3"/>
        <v>1</v>
      </c>
      <c r="P51" s="1" t="str">
        <f t="shared" si="4"/>
        <v>Mid Loan</v>
      </c>
      <c r="Q51" s="1">
        <f t="shared" si="5"/>
        <v>1</v>
      </c>
    </row>
    <row r="52" spans="1:17" x14ac:dyDescent="0.3">
      <c r="A52" s="1" t="s">
        <v>80</v>
      </c>
      <c r="B52" s="1">
        <v>3</v>
      </c>
      <c r="C52" s="1" t="s">
        <v>12</v>
      </c>
      <c r="D52" s="1">
        <v>98187</v>
      </c>
      <c r="E52" s="1">
        <v>5200</v>
      </c>
      <c r="F52" s="2">
        <v>45952</v>
      </c>
      <c r="G52" s="2">
        <v>45952</v>
      </c>
      <c r="H52" s="1">
        <v>0</v>
      </c>
      <c r="I52" s="1" t="s">
        <v>21</v>
      </c>
      <c r="J52" s="1" t="s">
        <v>22</v>
      </c>
      <c r="K52" s="1" t="s">
        <v>23</v>
      </c>
      <c r="L52" s="1">
        <f t="shared" si="0"/>
        <v>0</v>
      </c>
      <c r="M52" s="1" t="str">
        <f t="shared" si="1"/>
        <v>On Time</v>
      </c>
      <c r="N52" s="1" t="str">
        <f t="shared" si="2"/>
        <v>Low</v>
      </c>
      <c r="O52" s="1">
        <f t="shared" si="3"/>
        <v>0</v>
      </c>
      <c r="P52" s="1" t="str">
        <f t="shared" si="4"/>
        <v>Very High Loan</v>
      </c>
      <c r="Q52" s="1">
        <f t="shared" si="5"/>
        <v>1</v>
      </c>
    </row>
    <row r="53" spans="1:17" x14ac:dyDescent="0.3">
      <c r="A53" s="1" t="s">
        <v>81</v>
      </c>
      <c r="B53" s="1">
        <v>3</v>
      </c>
      <c r="C53" s="1" t="s">
        <v>12</v>
      </c>
      <c r="D53" s="1">
        <v>60998</v>
      </c>
      <c r="E53" s="1">
        <v>6800</v>
      </c>
      <c r="F53" s="2">
        <v>45958</v>
      </c>
      <c r="G53" s="2">
        <v>45965</v>
      </c>
      <c r="H53" s="1">
        <v>7</v>
      </c>
      <c r="I53" s="1" t="s">
        <v>21</v>
      </c>
      <c r="J53" s="1" t="s">
        <v>14</v>
      </c>
      <c r="K53" s="1" t="s">
        <v>15</v>
      </c>
      <c r="L53" s="1">
        <f t="shared" si="0"/>
        <v>1</v>
      </c>
      <c r="M53" s="1" t="str">
        <f t="shared" si="1"/>
        <v>Delayed</v>
      </c>
      <c r="N53" s="1" t="str">
        <f t="shared" si="2"/>
        <v>Medium</v>
      </c>
      <c r="O53" s="1">
        <f t="shared" si="3"/>
        <v>1</v>
      </c>
      <c r="P53" s="1" t="str">
        <f t="shared" si="4"/>
        <v>High Loan</v>
      </c>
      <c r="Q53" s="1">
        <f t="shared" si="5"/>
        <v>0</v>
      </c>
    </row>
    <row r="54" spans="1:17" x14ac:dyDescent="0.3">
      <c r="A54" s="1" t="s">
        <v>82</v>
      </c>
      <c r="B54" s="1">
        <v>3</v>
      </c>
      <c r="C54" s="1" t="s">
        <v>12</v>
      </c>
      <c r="D54" s="1">
        <v>76846</v>
      </c>
      <c r="E54" s="1">
        <v>12800</v>
      </c>
      <c r="F54" s="2">
        <v>45959</v>
      </c>
      <c r="G54" s="2">
        <v>45959</v>
      </c>
      <c r="H54" s="1">
        <v>0</v>
      </c>
      <c r="I54" s="1" t="s">
        <v>28</v>
      </c>
      <c r="J54" s="1" t="s">
        <v>22</v>
      </c>
      <c r="K54" s="1" t="s">
        <v>70</v>
      </c>
      <c r="L54" s="1">
        <f t="shared" si="0"/>
        <v>0</v>
      </c>
      <c r="M54" s="1" t="str">
        <f t="shared" si="1"/>
        <v>On Time</v>
      </c>
      <c r="N54" s="1" t="str">
        <f t="shared" si="2"/>
        <v>Low</v>
      </c>
      <c r="O54" s="1">
        <f t="shared" si="3"/>
        <v>0</v>
      </c>
      <c r="P54" s="1" t="str">
        <f t="shared" si="4"/>
        <v>High Loan</v>
      </c>
      <c r="Q54" s="1">
        <f t="shared" si="5"/>
        <v>1</v>
      </c>
    </row>
    <row r="55" spans="1:17" x14ac:dyDescent="0.3">
      <c r="A55" s="1" t="s">
        <v>83</v>
      </c>
      <c r="B55" s="1">
        <v>3</v>
      </c>
      <c r="C55" s="1" t="s">
        <v>12</v>
      </c>
      <c r="D55" s="1">
        <v>26640</v>
      </c>
      <c r="E55" s="1">
        <v>4400</v>
      </c>
      <c r="F55" s="2">
        <v>45943</v>
      </c>
      <c r="G55" s="2">
        <v>45973</v>
      </c>
      <c r="H55" s="1">
        <v>30</v>
      </c>
      <c r="I55" s="1" t="s">
        <v>17</v>
      </c>
      <c r="J55" s="1" t="s">
        <v>22</v>
      </c>
      <c r="K55" s="1" t="s">
        <v>23</v>
      </c>
      <c r="L55" s="1">
        <f t="shared" si="0"/>
        <v>1</v>
      </c>
      <c r="M55" s="1" t="str">
        <f t="shared" si="1"/>
        <v>Delayed</v>
      </c>
      <c r="N55" s="1" t="str">
        <f t="shared" si="2"/>
        <v>High</v>
      </c>
      <c r="O55" s="1">
        <f t="shared" si="3"/>
        <v>0</v>
      </c>
      <c r="P55" s="1" t="str">
        <f t="shared" si="4"/>
        <v>Low Loan</v>
      </c>
      <c r="Q55" s="1">
        <f t="shared" si="5"/>
        <v>0</v>
      </c>
    </row>
    <row r="56" spans="1:17" x14ac:dyDescent="0.3">
      <c r="A56" s="1" t="s">
        <v>84</v>
      </c>
      <c r="B56" s="1">
        <v>2</v>
      </c>
      <c r="C56" s="1" t="s">
        <v>12</v>
      </c>
      <c r="D56" s="1">
        <v>64547</v>
      </c>
      <c r="E56" s="1">
        <v>3100</v>
      </c>
      <c r="F56" s="2">
        <v>45948</v>
      </c>
      <c r="G56" s="2">
        <v>45955</v>
      </c>
      <c r="H56" s="1">
        <v>7</v>
      </c>
      <c r="I56" s="1" t="s">
        <v>21</v>
      </c>
      <c r="J56" s="1" t="s">
        <v>22</v>
      </c>
      <c r="K56" s="1" t="s">
        <v>44</v>
      </c>
      <c r="L56" s="1">
        <f t="shared" si="0"/>
        <v>1</v>
      </c>
      <c r="M56" s="1" t="str">
        <f t="shared" si="1"/>
        <v>Delayed</v>
      </c>
      <c r="N56" s="1" t="str">
        <f t="shared" si="2"/>
        <v>Medium</v>
      </c>
      <c r="O56" s="1">
        <f t="shared" si="3"/>
        <v>0</v>
      </c>
      <c r="P56" s="1" t="str">
        <f t="shared" si="4"/>
        <v>High Loan</v>
      </c>
      <c r="Q56" s="1">
        <f t="shared" si="5"/>
        <v>0</v>
      </c>
    </row>
    <row r="57" spans="1:17" x14ac:dyDescent="0.3">
      <c r="A57" s="1" t="s">
        <v>85</v>
      </c>
      <c r="B57" s="1">
        <v>3</v>
      </c>
      <c r="C57" s="1" t="s">
        <v>20</v>
      </c>
      <c r="D57" s="1">
        <v>74620</v>
      </c>
      <c r="E57" s="1">
        <v>3900</v>
      </c>
      <c r="F57" s="2">
        <v>45932</v>
      </c>
      <c r="G57" s="2">
        <v>45932</v>
      </c>
      <c r="H57" s="1">
        <v>0</v>
      </c>
      <c r="I57" s="1" t="s">
        <v>21</v>
      </c>
      <c r="J57" s="1" t="s">
        <v>22</v>
      </c>
      <c r="K57" s="1" t="s">
        <v>44</v>
      </c>
      <c r="L57" s="1">
        <f t="shared" si="0"/>
        <v>0</v>
      </c>
      <c r="M57" s="1" t="str">
        <f t="shared" si="1"/>
        <v>On Time</v>
      </c>
      <c r="N57" s="1" t="str">
        <f t="shared" si="2"/>
        <v>Low</v>
      </c>
      <c r="O57" s="1">
        <f t="shared" si="3"/>
        <v>0</v>
      </c>
      <c r="P57" s="1" t="str">
        <f t="shared" si="4"/>
        <v>High Loan</v>
      </c>
      <c r="Q57" s="1">
        <f t="shared" si="5"/>
        <v>1</v>
      </c>
    </row>
    <row r="58" spans="1:17" x14ac:dyDescent="0.3">
      <c r="A58" s="1" t="s">
        <v>86</v>
      </c>
      <c r="B58" s="1">
        <v>1</v>
      </c>
      <c r="C58" s="1" t="s">
        <v>20</v>
      </c>
      <c r="D58" s="1">
        <v>35317</v>
      </c>
      <c r="E58" s="1">
        <v>1700</v>
      </c>
      <c r="F58" s="2">
        <v>45959</v>
      </c>
      <c r="G58" s="2">
        <v>45962</v>
      </c>
      <c r="H58" s="1">
        <v>3</v>
      </c>
      <c r="I58" s="1" t="s">
        <v>17</v>
      </c>
      <c r="J58" s="1" t="s">
        <v>22</v>
      </c>
      <c r="K58" s="1" t="s">
        <v>18</v>
      </c>
      <c r="L58" s="1">
        <f t="shared" si="0"/>
        <v>1</v>
      </c>
      <c r="M58" s="1" t="str">
        <f t="shared" si="1"/>
        <v>Delayed</v>
      </c>
      <c r="N58" s="1" t="str">
        <f t="shared" si="2"/>
        <v>Medium</v>
      </c>
      <c r="O58" s="1">
        <f t="shared" si="3"/>
        <v>0</v>
      </c>
      <c r="P58" s="1" t="str">
        <f t="shared" si="4"/>
        <v>Low Loan</v>
      </c>
      <c r="Q58" s="1">
        <f t="shared" si="5"/>
        <v>0</v>
      </c>
    </row>
    <row r="59" spans="1:17" x14ac:dyDescent="0.3">
      <c r="A59" s="1" t="s">
        <v>87</v>
      </c>
      <c r="B59" s="1">
        <v>1</v>
      </c>
      <c r="C59" s="1" t="s">
        <v>20</v>
      </c>
      <c r="D59" s="1">
        <v>27564</v>
      </c>
      <c r="E59" s="1">
        <v>2800</v>
      </c>
      <c r="F59" s="2">
        <v>45951</v>
      </c>
      <c r="G59" s="2">
        <v>45951</v>
      </c>
      <c r="H59" s="1">
        <v>0</v>
      </c>
      <c r="I59" s="1" t="s">
        <v>21</v>
      </c>
      <c r="J59" s="1" t="s">
        <v>22</v>
      </c>
      <c r="K59" s="1" t="s">
        <v>34</v>
      </c>
      <c r="L59" s="1">
        <f t="shared" si="0"/>
        <v>0</v>
      </c>
      <c r="M59" s="1" t="str">
        <f t="shared" si="1"/>
        <v>On Time</v>
      </c>
      <c r="N59" s="1" t="str">
        <f t="shared" si="2"/>
        <v>Low</v>
      </c>
      <c r="O59" s="1">
        <f t="shared" si="3"/>
        <v>0</v>
      </c>
      <c r="P59" s="1" t="str">
        <f t="shared" si="4"/>
        <v>Low Loan</v>
      </c>
      <c r="Q59" s="1">
        <f t="shared" si="5"/>
        <v>1</v>
      </c>
    </row>
    <row r="60" spans="1:17" x14ac:dyDescent="0.3">
      <c r="A60" s="1" t="s">
        <v>88</v>
      </c>
      <c r="B60" s="1">
        <v>1</v>
      </c>
      <c r="C60" s="1" t="s">
        <v>12</v>
      </c>
      <c r="D60" s="1">
        <v>47345</v>
      </c>
      <c r="E60" s="1">
        <v>3400</v>
      </c>
      <c r="F60" s="2">
        <v>45945</v>
      </c>
      <c r="G60" s="2">
        <v>45948</v>
      </c>
      <c r="H60" s="1">
        <v>3</v>
      </c>
      <c r="I60" s="1" t="s">
        <v>28</v>
      </c>
      <c r="J60" s="1" t="s">
        <v>22</v>
      </c>
      <c r="K60" s="1" t="s">
        <v>26</v>
      </c>
      <c r="L60" s="1">
        <f t="shared" si="0"/>
        <v>1</v>
      </c>
      <c r="M60" s="1" t="str">
        <f t="shared" si="1"/>
        <v>Delayed</v>
      </c>
      <c r="N60" s="1" t="str">
        <f t="shared" si="2"/>
        <v>Medium</v>
      </c>
      <c r="O60" s="1">
        <f t="shared" si="3"/>
        <v>0</v>
      </c>
      <c r="P60" s="1" t="str">
        <f t="shared" si="4"/>
        <v>Mid Loan</v>
      </c>
      <c r="Q60" s="1">
        <f t="shared" si="5"/>
        <v>0</v>
      </c>
    </row>
    <row r="61" spans="1:17" x14ac:dyDescent="0.3">
      <c r="A61" s="1" t="s">
        <v>89</v>
      </c>
      <c r="B61" s="1">
        <v>2</v>
      </c>
      <c r="C61" s="1" t="s">
        <v>12</v>
      </c>
      <c r="D61" s="1">
        <v>99273</v>
      </c>
      <c r="E61" s="1">
        <v>14200</v>
      </c>
      <c r="F61" s="2">
        <v>45950</v>
      </c>
      <c r="G61" s="2">
        <v>45957</v>
      </c>
      <c r="H61" s="1">
        <v>7</v>
      </c>
      <c r="I61" s="1" t="s">
        <v>21</v>
      </c>
      <c r="J61" s="1" t="s">
        <v>22</v>
      </c>
      <c r="K61" s="1" t="s">
        <v>56</v>
      </c>
      <c r="L61" s="1">
        <f t="shared" si="0"/>
        <v>1</v>
      </c>
      <c r="M61" s="1" t="str">
        <f t="shared" si="1"/>
        <v>Delayed</v>
      </c>
      <c r="N61" s="1" t="str">
        <f t="shared" si="2"/>
        <v>Medium</v>
      </c>
      <c r="O61" s="1">
        <f t="shared" si="3"/>
        <v>0</v>
      </c>
      <c r="P61" s="1" t="str">
        <f t="shared" si="4"/>
        <v>Very High Loan</v>
      </c>
      <c r="Q61" s="1">
        <f t="shared" si="5"/>
        <v>0</v>
      </c>
    </row>
    <row r="62" spans="1:17" x14ac:dyDescent="0.3">
      <c r="A62" s="1" t="s">
        <v>90</v>
      </c>
      <c r="B62" s="1">
        <v>2</v>
      </c>
      <c r="C62" s="1" t="s">
        <v>12</v>
      </c>
      <c r="D62" s="1">
        <v>94859</v>
      </c>
      <c r="E62" s="1">
        <v>4100</v>
      </c>
      <c r="F62" s="2">
        <v>45957</v>
      </c>
      <c r="G62" s="2">
        <v>45972</v>
      </c>
      <c r="H62" s="1">
        <v>15</v>
      </c>
      <c r="I62" s="1" t="s">
        <v>21</v>
      </c>
      <c r="J62" s="1" t="s">
        <v>22</v>
      </c>
      <c r="K62" s="1" t="s">
        <v>44</v>
      </c>
      <c r="L62" s="1">
        <f t="shared" si="0"/>
        <v>1</v>
      </c>
      <c r="M62" s="1" t="str">
        <f t="shared" si="1"/>
        <v>Delayed</v>
      </c>
      <c r="N62" s="1" t="str">
        <f t="shared" si="2"/>
        <v>High</v>
      </c>
      <c r="O62" s="1">
        <f t="shared" si="3"/>
        <v>0</v>
      </c>
      <c r="P62" s="1" t="str">
        <f t="shared" si="4"/>
        <v>Very High Loan</v>
      </c>
      <c r="Q62" s="1">
        <f t="shared" si="5"/>
        <v>0</v>
      </c>
    </row>
    <row r="63" spans="1:17" x14ac:dyDescent="0.3">
      <c r="A63" s="1" t="s">
        <v>91</v>
      </c>
      <c r="B63" s="1">
        <v>2</v>
      </c>
      <c r="C63" s="1" t="s">
        <v>20</v>
      </c>
      <c r="D63" s="1">
        <v>94038</v>
      </c>
      <c r="E63" s="1">
        <v>8500</v>
      </c>
      <c r="F63" s="2">
        <v>45948</v>
      </c>
      <c r="G63" s="2">
        <v>45963</v>
      </c>
      <c r="H63" s="1">
        <v>15</v>
      </c>
      <c r="I63" s="1" t="s">
        <v>21</v>
      </c>
      <c r="J63" s="1" t="s">
        <v>14</v>
      </c>
      <c r="K63" s="1" t="s">
        <v>70</v>
      </c>
      <c r="L63" s="1">
        <f t="shared" si="0"/>
        <v>1</v>
      </c>
      <c r="M63" s="1" t="str">
        <f t="shared" si="1"/>
        <v>Delayed</v>
      </c>
      <c r="N63" s="1" t="str">
        <f t="shared" si="2"/>
        <v>High</v>
      </c>
      <c r="O63" s="1">
        <f t="shared" si="3"/>
        <v>1</v>
      </c>
      <c r="P63" s="1" t="str">
        <f t="shared" si="4"/>
        <v>Very High Loan</v>
      </c>
      <c r="Q63" s="1">
        <f t="shared" si="5"/>
        <v>0</v>
      </c>
    </row>
    <row r="64" spans="1:17" x14ac:dyDescent="0.3">
      <c r="A64" s="1" t="s">
        <v>92</v>
      </c>
      <c r="B64" s="1">
        <v>3</v>
      </c>
      <c r="C64" s="1" t="s">
        <v>20</v>
      </c>
      <c r="D64" s="1">
        <v>72393</v>
      </c>
      <c r="E64" s="1">
        <v>5200</v>
      </c>
      <c r="F64" s="2">
        <v>45945</v>
      </c>
      <c r="G64" s="2">
        <v>45945</v>
      </c>
      <c r="H64" s="1">
        <v>0</v>
      </c>
      <c r="I64" s="1" t="s">
        <v>28</v>
      </c>
      <c r="J64" s="1" t="s">
        <v>22</v>
      </c>
      <c r="K64" s="1" t="s">
        <v>26</v>
      </c>
      <c r="L64" s="1">
        <f t="shared" si="0"/>
        <v>0</v>
      </c>
      <c r="M64" s="1" t="str">
        <f t="shared" si="1"/>
        <v>On Time</v>
      </c>
      <c r="N64" s="1" t="str">
        <f t="shared" si="2"/>
        <v>Low</v>
      </c>
      <c r="O64" s="1">
        <f t="shared" si="3"/>
        <v>0</v>
      </c>
      <c r="P64" s="1" t="str">
        <f t="shared" si="4"/>
        <v>High Loan</v>
      </c>
      <c r="Q64" s="1">
        <f t="shared" si="5"/>
        <v>1</v>
      </c>
    </row>
    <row r="65" spans="1:17" x14ac:dyDescent="0.3">
      <c r="A65" s="1" t="s">
        <v>93</v>
      </c>
      <c r="B65" s="1">
        <v>2</v>
      </c>
      <c r="C65" s="1" t="s">
        <v>20</v>
      </c>
      <c r="D65" s="1">
        <v>86081</v>
      </c>
      <c r="E65" s="1">
        <v>14300</v>
      </c>
      <c r="F65" s="2">
        <v>45949</v>
      </c>
      <c r="G65" s="2">
        <v>45949</v>
      </c>
      <c r="H65" s="1">
        <v>0</v>
      </c>
      <c r="I65" s="1" t="s">
        <v>28</v>
      </c>
      <c r="J65" s="1" t="s">
        <v>22</v>
      </c>
      <c r="K65" s="1" t="s">
        <v>32</v>
      </c>
      <c r="L65" s="1">
        <f t="shared" si="0"/>
        <v>0</v>
      </c>
      <c r="M65" s="1" t="str">
        <f t="shared" si="1"/>
        <v>On Time</v>
      </c>
      <c r="N65" s="1" t="str">
        <f t="shared" si="2"/>
        <v>Low</v>
      </c>
      <c r="O65" s="1">
        <f t="shared" si="3"/>
        <v>0</v>
      </c>
      <c r="P65" s="1" t="str">
        <f t="shared" si="4"/>
        <v>Very High Loan</v>
      </c>
      <c r="Q65" s="1">
        <f t="shared" si="5"/>
        <v>1</v>
      </c>
    </row>
    <row r="66" spans="1:17" x14ac:dyDescent="0.3">
      <c r="A66" s="1" t="s">
        <v>94</v>
      </c>
      <c r="B66" s="1">
        <v>2</v>
      </c>
      <c r="C66" s="1" t="s">
        <v>20</v>
      </c>
      <c r="D66" s="1">
        <v>49430</v>
      </c>
      <c r="E66" s="1">
        <v>3500</v>
      </c>
      <c r="F66" s="2">
        <v>45953</v>
      </c>
      <c r="G66" s="2">
        <v>45960</v>
      </c>
      <c r="H66" s="1">
        <v>7</v>
      </c>
      <c r="I66" s="1" t="s">
        <v>28</v>
      </c>
      <c r="J66" s="1" t="s">
        <v>14</v>
      </c>
      <c r="K66" s="1" t="s">
        <v>70</v>
      </c>
      <c r="L66" s="1">
        <f t="shared" si="0"/>
        <v>1</v>
      </c>
      <c r="M66" s="1" t="str">
        <f t="shared" si="1"/>
        <v>Delayed</v>
      </c>
      <c r="N66" s="1" t="str">
        <f t="shared" si="2"/>
        <v>Medium</v>
      </c>
      <c r="O66" s="1">
        <f t="shared" si="3"/>
        <v>1</v>
      </c>
      <c r="P66" s="1" t="str">
        <f t="shared" si="4"/>
        <v>Mid Loan</v>
      </c>
      <c r="Q66" s="1">
        <f t="shared" si="5"/>
        <v>0</v>
      </c>
    </row>
    <row r="67" spans="1:17" x14ac:dyDescent="0.3">
      <c r="A67" s="1" t="s">
        <v>95</v>
      </c>
      <c r="B67" s="1">
        <v>2</v>
      </c>
      <c r="C67" s="1" t="s">
        <v>12</v>
      </c>
      <c r="D67" s="1">
        <v>95532</v>
      </c>
      <c r="E67" s="1">
        <v>4500</v>
      </c>
      <c r="F67" s="2">
        <v>45954</v>
      </c>
      <c r="G67" s="2">
        <v>45954</v>
      </c>
      <c r="H67" s="1">
        <v>0</v>
      </c>
      <c r="I67" s="1" t="s">
        <v>17</v>
      </c>
      <c r="J67" s="1" t="s">
        <v>22</v>
      </c>
      <c r="K67" s="1" t="s">
        <v>18</v>
      </c>
      <c r="L67" s="1">
        <f t="shared" ref="L67:L130" si="6">IF(H67&gt;0,1,0)</f>
        <v>0</v>
      </c>
      <c r="M67" s="1" t="str">
        <f t="shared" ref="M67:M130" si="7">IF(H67=0,"On Time","Delayed")</f>
        <v>On Time</v>
      </c>
      <c r="N67" s="1" t="str">
        <f t="shared" ref="N67:N130" si="8">_xlfn.IFS(H67=0,"Low",H67&lt;=14,"Medium",H67&gt;14,"High")</f>
        <v>Low</v>
      </c>
      <c r="O67" s="1">
        <f t="shared" ref="O67:O130" si="9">IF(J67="Yes",1,0)</f>
        <v>0</v>
      </c>
      <c r="P67" s="1" t="str">
        <f t="shared" ref="P67:P130" si="10">_xlfn.IFS(
 D67&lt;=$V$16,"Low Loan",
 D67&lt;=$V$17,"Mid Loan",
 D67&lt;=$V$18,"High Loan",
 TRUE,"Very High Loan"
)</f>
        <v>Very High Loan</v>
      </c>
      <c r="Q67" s="1">
        <f t="shared" ref="Q67:Q130" si="11">IF(H67=0,1,0)</f>
        <v>1</v>
      </c>
    </row>
    <row r="68" spans="1:17" x14ac:dyDescent="0.3">
      <c r="A68" s="1" t="s">
        <v>96</v>
      </c>
      <c r="B68" s="1">
        <v>1</v>
      </c>
      <c r="C68" s="1" t="s">
        <v>20</v>
      </c>
      <c r="D68" s="1">
        <v>47788</v>
      </c>
      <c r="E68" s="1">
        <v>2700</v>
      </c>
      <c r="F68" s="2">
        <v>45942</v>
      </c>
      <c r="G68" s="2">
        <v>45942</v>
      </c>
      <c r="H68" s="1">
        <v>0</v>
      </c>
      <c r="I68" s="1" t="s">
        <v>28</v>
      </c>
      <c r="J68" s="1" t="s">
        <v>22</v>
      </c>
      <c r="K68" s="1" t="s">
        <v>56</v>
      </c>
      <c r="L68" s="1">
        <f t="shared" si="6"/>
        <v>0</v>
      </c>
      <c r="M68" s="1" t="str">
        <f t="shared" si="7"/>
        <v>On Time</v>
      </c>
      <c r="N68" s="1" t="str">
        <f t="shared" si="8"/>
        <v>Low</v>
      </c>
      <c r="O68" s="1">
        <f t="shared" si="9"/>
        <v>0</v>
      </c>
      <c r="P68" s="1" t="str">
        <f t="shared" si="10"/>
        <v>Mid Loan</v>
      </c>
      <c r="Q68" s="1">
        <f t="shared" si="11"/>
        <v>1</v>
      </c>
    </row>
    <row r="69" spans="1:17" x14ac:dyDescent="0.3">
      <c r="A69" s="1" t="s">
        <v>97</v>
      </c>
      <c r="B69" s="1">
        <v>3</v>
      </c>
      <c r="C69" s="1" t="s">
        <v>20</v>
      </c>
      <c r="D69" s="1">
        <v>68543</v>
      </c>
      <c r="E69" s="1">
        <v>4900</v>
      </c>
      <c r="F69" s="2">
        <v>45943</v>
      </c>
      <c r="G69" s="2">
        <v>45943</v>
      </c>
      <c r="H69" s="1">
        <v>0</v>
      </c>
      <c r="I69" s="1" t="s">
        <v>21</v>
      </c>
      <c r="J69" s="1" t="s">
        <v>14</v>
      </c>
      <c r="K69" s="1" t="s">
        <v>54</v>
      </c>
      <c r="L69" s="1">
        <f t="shared" si="6"/>
        <v>0</v>
      </c>
      <c r="M69" s="1" t="str">
        <f t="shared" si="7"/>
        <v>On Time</v>
      </c>
      <c r="N69" s="1" t="str">
        <f t="shared" si="8"/>
        <v>Low</v>
      </c>
      <c r="O69" s="1">
        <f t="shared" si="9"/>
        <v>1</v>
      </c>
      <c r="P69" s="1" t="str">
        <f t="shared" si="10"/>
        <v>High Loan</v>
      </c>
      <c r="Q69" s="1">
        <f t="shared" si="11"/>
        <v>1</v>
      </c>
    </row>
    <row r="70" spans="1:17" x14ac:dyDescent="0.3">
      <c r="A70" s="1" t="s">
        <v>98</v>
      </c>
      <c r="B70" s="1">
        <v>1</v>
      </c>
      <c r="C70" s="1" t="s">
        <v>30</v>
      </c>
      <c r="D70" s="1">
        <v>33919</v>
      </c>
      <c r="E70" s="1">
        <v>1900</v>
      </c>
      <c r="F70" s="2">
        <v>45952</v>
      </c>
      <c r="G70" s="2">
        <v>45955</v>
      </c>
      <c r="H70" s="1">
        <v>3</v>
      </c>
      <c r="I70" s="1" t="s">
        <v>13</v>
      </c>
      <c r="J70" s="1" t="s">
        <v>22</v>
      </c>
      <c r="K70" s="1" t="s">
        <v>44</v>
      </c>
      <c r="L70" s="1">
        <f t="shared" si="6"/>
        <v>1</v>
      </c>
      <c r="M70" s="1" t="str">
        <f t="shared" si="7"/>
        <v>Delayed</v>
      </c>
      <c r="N70" s="1" t="str">
        <f t="shared" si="8"/>
        <v>Medium</v>
      </c>
      <c r="O70" s="1">
        <f t="shared" si="9"/>
        <v>0</v>
      </c>
      <c r="P70" s="1" t="str">
        <f t="shared" si="10"/>
        <v>Low Loan</v>
      </c>
      <c r="Q70" s="1">
        <f t="shared" si="11"/>
        <v>0</v>
      </c>
    </row>
    <row r="71" spans="1:17" x14ac:dyDescent="0.3">
      <c r="A71" s="1" t="s">
        <v>99</v>
      </c>
      <c r="B71" s="1">
        <v>3</v>
      </c>
      <c r="C71" s="1" t="s">
        <v>20</v>
      </c>
      <c r="D71" s="1">
        <v>89346</v>
      </c>
      <c r="E71" s="1">
        <v>6400</v>
      </c>
      <c r="F71" s="2">
        <v>45941</v>
      </c>
      <c r="G71" s="2">
        <v>45941</v>
      </c>
      <c r="H71" s="1">
        <v>0</v>
      </c>
      <c r="I71" s="1" t="s">
        <v>28</v>
      </c>
      <c r="J71" s="1" t="s">
        <v>22</v>
      </c>
      <c r="K71" s="1" t="s">
        <v>23</v>
      </c>
      <c r="L71" s="1">
        <f t="shared" si="6"/>
        <v>0</v>
      </c>
      <c r="M71" s="1" t="str">
        <f t="shared" si="7"/>
        <v>On Time</v>
      </c>
      <c r="N71" s="1" t="str">
        <f t="shared" si="8"/>
        <v>Low</v>
      </c>
      <c r="O71" s="1">
        <f t="shared" si="9"/>
        <v>0</v>
      </c>
      <c r="P71" s="1" t="str">
        <f t="shared" si="10"/>
        <v>Very High Loan</v>
      </c>
      <c r="Q71" s="1">
        <f t="shared" si="11"/>
        <v>1</v>
      </c>
    </row>
    <row r="72" spans="1:17" x14ac:dyDescent="0.3">
      <c r="A72" s="1" t="s">
        <v>100</v>
      </c>
      <c r="B72" s="1">
        <v>3</v>
      </c>
      <c r="C72" s="1" t="s">
        <v>12</v>
      </c>
      <c r="D72" s="1">
        <v>59974</v>
      </c>
      <c r="E72" s="1">
        <v>3700</v>
      </c>
      <c r="F72" s="2">
        <v>45935</v>
      </c>
      <c r="G72" s="2">
        <v>45938</v>
      </c>
      <c r="H72" s="1">
        <v>3</v>
      </c>
      <c r="I72" s="1" t="s">
        <v>21</v>
      </c>
      <c r="J72" s="1" t="s">
        <v>22</v>
      </c>
      <c r="K72" s="1" t="s">
        <v>15</v>
      </c>
      <c r="L72" s="1">
        <f t="shared" si="6"/>
        <v>1</v>
      </c>
      <c r="M72" s="1" t="str">
        <f t="shared" si="7"/>
        <v>Delayed</v>
      </c>
      <c r="N72" s="1" t="str">
        <f t="shared" si="8"/>
        <v>Medium</v>
      </c>
      <c r="O72" s="1">
        <f t="shared" si="9"/>
        <v>0</v>
      </c>
      <c r="P72" s="1" t="str">
        <f t="shared" si="10"/>
        <v>High Loan</v>
      </c>
      <c r="Q72" s="1">
        <f t="shared" si="11"/>
        <v>0</v>
      </c>
    </row>
    <row r="73" spans="1:17" x14ac:dyDescent="0.3">
      <c r="A73" s="1" t="s">
        <v>101</v>
      </c>
      <c r="B73" s="1">
        <v>1</v>
      </c>
      <c r="C73" s="1" t="s">
        <v>12</v>
      </c>
      <c r="D73" s="1">
        <v>36371</v>
      </c>
      <c r="E73" s="1">
        <v>4000</v>
      </c>
      <c r="F73" s="2">
        <v>45959</v>
      </c>
      <c r="G73" s="2">
        <v>46019</v>
      </c>
      <c r="H73" s="1">
        <v>60</v>
      </c>
      <c r="I73" s="1" t="s">
        <v>17</v>
      </c>
      <c r="J73" s="1" t="s">
        <v>14</v>
      </c>
      <c r="K73" s="1" t="s">
        <v>15</v>
      </c>
      <c r="L73" s="1">
        <f t="shared" si="6"/>
        <v>1</v>
      </c>
      <c r="M73" s="1" t="str">
        <f t="shared" si="7"/>
        <v>Delayed</v>
      </c>
      <c r="N73" s="1" t="str">
        <f t="shared" si="8"/>
        <v>High</v>
      </c>
      <c r="O73" s="1">
        <f t="shared" si="9"/>
        <v>1</v>
      </c>
      <c r="P73" s="1" t="str">
        <f t="shared" si="10"/>
        <v>Low Loan</v>
      </c>
      <c r="Q73" s="1">
        <f t="shared" si="11"/>
        <v>0</v>
      </c>
    </row>
    <row r="74" spans="1:17" x14ac:dyDescent="0.3">
      <c r="A74" s="1" t="s">
        <v>102</v>
      </c>
      <c r="B74" s="1">
        <v>1</v>
      </c>
      <c r="C74" s="1" t="s">
        <v>20</v>
      </c>
      <c r="D74" s="1">
        <v>65084</v>
      </c>
      <c r="E74" s="1">
        <v>9300</v>
      </c>
      <c r="F74" s="2">
        <v>45931</v>
      </c>
      <c r="G74" s="2">
        <v>45931</v>
      </c>
      <c r="H74" s="1">
        <v>0</v>
      </c>
      <c r="I74" s="1" t="s">
        <v>13</v>
      </c>
      <c r="J74" s="1" t="s">
        <v>14</v>
      </c>
      <c r="K74" s="1" t="s">
        <v>56</v>
      </c>
      <c r="L74" s="1">
        <f t="shared" si="6"/>
        <v>0</v>
      </c>
      <c r="M74" s="1" t="str">
        <f t="shared" si="7"/>
        <v>On Time</v>
      </c>
      <c r="N74" s="1" t="str">
        <f t="shared" si="8"/>
        <v>Low</v>
      </c>
      <c r="O74" s="1">
        <f t="shared" si="9"/>
        <v>1</v>
      </c>
      <c r="P74" s="1" t="str">
        <f t="shared" si="10"/>
        <v>High Loan</v>
      </c>
      <c r="Q74" s="1">
        <f t="shared" si="11"/>
        <v>1</v>
      </c>
    </row>
    <row r="75" spans="1:17" x14ac:dyDescent="0.3">
      <c r="A75" s="1" t="s">
        <v>103</v>
      </c>
      <c r="B75" s="1">
        <v>3</v>
      </c>
      <c r="C75" s="1" t="s">
        <v>12</v>
      </c>
      <c r="D75" s="1">
        <v>49629</v>
      </c>
      <c r="E75" s="1">
        <v>4500</v>
      </c>
      <c r="F75" s="2">
        <v>45954</v>
      </c>
      <c r="G75" s="2">
        <v>45954</v>
      </c>
      <c r="H75" s="1">
        <v>0</v>
      </c>
      <c r="I75" s="1" t="s">
        <v>17</v>
      </c>
      <c r="J75" s="1" t="s">
        <v>22</v>
      </c>
      <c r="K75" s="1" t="s">
        <v>44</v>
      </c>
      <c r="L75" s="1">
        <f t="shared" si="6"/>
        <v>0</v>
      </c>
      <c r="M75" s="1" t="str">
        <f t="shared" si="7"/>
        <v>On Time</v>
      </c>
      <c r="N75" s="1" t="str">
        <f t="shared" si="8"/>
        <v>Low</v>
      </c>
      <c r="O75" s="1">
        <f t="shared" si="9"/>
        <v>0</v>
      </c>
      <c r="P75" s="1" t="str">
        <f t="shared" si="10"/>
        <v>Mid Loan</v>
      </c>
      <c r="Q75" s="1">
        <f t="shared" si="11"/>
        <v>1</v>
      </c>
    </row>
    <row r="76" spans="1:17" x14ac:dyDescent="0.3">
      <c r="A76" s="1" t="s">
        <v>104</v>
      </c>
      <c r="B76" s="1">
        <v>3</v>
      </c>
      <c r="C76" s="1" t="s">
        <v>12</v>
      </c>
      <c r="D76" s="1">
        <v>71184</v>
      </c>
      <c r="E76" s="1">
        <v>3700</v>
      </c>
      <c r="F76" s="2">
        <v>45933</v>
      </c>
      <c r="G76" s="2">
        <v>45933</v>
      </c>
      <c r="H76" s="1">
        <v>0</v>
      </c>
      <c r="I76" s="1" t="s">
        <v>17</v>
      </c>
      <c r="J76" s="1" t="s">
        <v>22</v>
      </c>
      <c r="K76" s="1" t="s">
        <v>44</v>
      </c>
      <c r="L76" s="1">
        <f t="shared" si="6"/>
        <v>0</v>
      </c>
      <c r="M76" s="1" t="str">
        <f t="shared" si="7"/>
        <v>On Time</v>
      </c>
      <c r="N76" s="1" t="str">
        <f t="shared" si="8"/>
        <v>Low</v>
      </c>
      <c r="O76" s="1">
        <f t="shared" si="9"/>
        <v>0</v>
      </c>
      <c r="P76" s="1" t="str">
        <f t="shared" si="10"/>
        <v>High Loan</v>
      </c>
      <c r="Q76" s="1">
        <f t="shared" si="11"/>
        <v>1</v>
      </c>
    </row>
    <row r="77" spans="1:17" x14ac:dyDescent="0.3">
      <c r="A77" s="1" t="s">
        <v>105</v>
      </c>
      <c r="B77" s="1">
        <v>3</v>
      </c>
      <c r="C77" s="1" t="s">
        <v>30</v>
      </c>
      <c r="D77" s="1">
        <v>81916</v>
      </c>
      <c r="E77" s="1">
        <v>9100</v>
      </c>
      <c r="F77" s="2">
        <v>45952</v>
      </c>
      <c r="G77" s="2">
        <v>45967</v>
      </c>
      <c r="H77" s="1">
        <v>15</v>
      </c>
      <c r="I77" s="1" t="s">
        <v>17</v>
      </c>
      <c r="J77" s="1" t="s">
        <v>22</v>
      </c>
      <c r="K77" s="1" t="s">
        <v>70</v>
      </c>
      <c r="L77" s="1">
        <f t="shared" si="6"/>
        <v>1</v>
      </c>
      <c r="M77" s="1" t="str">
        <f t="shared" si="7"/>
        <v>Delayed</v>
      </c>
      <c r="N77" s="1" t="str">
        <f t="shared" si="8"/>
        <v>High</v>
      </c>
      <c r="O77" s="1">
        <f t="shared" si="9"/>
        <v>0</v>
      </c>
      <c r="P77" s="1" t="str">
        <f t="shared" si="10"/>
        <v>Very High Loan</v>
      </c>
      <c r="Q77" s="1">
        <f t="shared" si="11"/>
        <v>0</v>
      </c>
    </row>
    <row r="78" spans="1:17" x14ac:dyDescent="0.3">
      <c r="A78" s="1" t="s">
        <v>106</v>
      </c>
      <c r="B78" s="1">
        <v>3</v>
      </c>
      <c r="C78" s="1" t="s">
        <v>20</v>
      </c>
      <c r="D78" s="1">
        <v>93972</v>
      </c>
      <c r="E78" s="1">
        <v>8500</v>
      </c>
      <c r="F78" s="2">
        <v>45949</v>
      </c>
      <c r="G78" s="2">
        <v>45949</v>
      </c>
      <c r="H78" s="1">
        <v>0</v>
      </c>
      <c r="I78" s="1" t="s">
        <v>21</v>
      </c>
      <c r="J78" s="1" t="s">
        <v>22</v>
      </c>
      <c r="K78" s="1" t="s">
        <v>15</v>
      </c>
      <c r="L78" s="1">
        <f t="shared" si="6"/>
        <v>0</v>
      </c>
      <c r="M78" s="1" t="str">
        <f t="shared" si="7"/>
        <v>On Time</v>
      </c>
      <c r="N78" s="1" t="str">
        <f t="shared" si="8"/>
        <v>Low</v>
      </c>
      <c r="O78" s="1">
        <f t="shared" si="9"/>
        <v>0</v>
      </c>
      <c r="P78" s="1" t="str">
        <f t="shared" si="10"/>
        <v>Very High Loan</v>
      </c>
      <c r="Q78" s="1">
        <f t="shared" si="11"/>
        <v>1</v>
      </c>
    </row>
    <row r="79" spans="1:17" x14ac:dyDescent="0.3">
      <c r="A79" s="1" t="s">
        <v>107</v>
      </c>
      <c r="B79" s="1">
        <v>1</v>
      </c>
      <c r="C79" s="1" t="s">
        <v>30</v>
      </c>
      <c r="D79" s="1">
        <v>82187</v>
      </c>
      <c r="E79" s="1">
        <v>7500</v>
      </c>
      <c r="F79" s="2">
        <v>45953</v>
      </c>
      <c r="G79" s="2">
        <v>45953</v>
      </c>
      <c r="H79" s="1">
        <v>0</v>
      </c>
      <c r="I79" s="1" t="s">
        <v>17</v>
      </c>
      <c r="J79" s="1" t="s">
        <v>14</v>
      </c>
      <c r="K79" s="1" t="s">
        <v>70</v>
      </c>
      <c r="L79" s="1">
        <f t="shared" si="6"/>
        <v>0</v>
      </c>
      <c r="M79" s="1" t="str">
        <f t="shared" si="7"/>
        <v>On Time</v>
      </c>
      <c r="N79" s="1" t="str">
        <f t="shared" si="8"/>
        <v>Low</v>
      </c>
      <c r="O79" s="1">
        <f t="shared" si="9"/>
        <v>1</v>
      </c>
      <c r="P79" s="1" t="str">
        <f t="shared" si="10"/>
        <v>Very High Loan</v>
      </c>
      <c r="Q79" s="1">
        <f t="shared" si="11"/>
        <v>1</v>
      </c>
    </row>
    <row r="80" spans="1:17" x14ac:dyDescent="0.3">
      <c r="A80" s="1" t="s">
        <v>108</v>
      </c>
      <c r="B80" s="1">
        <v>2</v>
      </c>
      <c r="C80" s="1" t="s">
        <v>20</v>
      </c>
      <c r="D80" s="1">
        <v>32984</v>
      </c>
      <c r="E80" s="1">
        <v>4700</v>
      </c>
      <c r="F80" s="2">
        <v>45959</v>
      </c>
      <c r="G80" s="2">
        <v>45959</v>
      </c>
      <c r="H80" s="1">
        <v>0</v>
      </c>
      <c r="I80" s="1" t="s">
        <v>28</v>
      </c>
      <c r="J80" s="1" t="s">
        <v>22</v>
      </c>
      <c r="K80" s="1" t="s">
        <v>54</v>
      </c>
      <c r="L80" s="1">
        <f t="shared" si="6"/>
        <v>0</v>
      </c>
      <c r="M80" s="1" t="str">
        <f t="shared" si="7"/>
        <v>On Time</v>
      </c>
      <c r="N80" s="1" t="str">
        <f t="shared" si="8"/>
        <v>Low</v>
      </c>
      <c r="O80" s="1">
        <f t="shared" si="9"/>
        <v>0</v>
      </c>
      <c r="P80" s="1" t="str">
        <f t="shared" si="10"/>
        <v>Low Loan</v>
      </c>
      <c r="Q80" s="1">
        <f t="shared" si="11"/>
        <v>1</v>
      </c>
    </row>
    <row r="81" spans="1:17" x14ac:dyDescent="0.3">
      <c r="A81" s="1" t="s">
        <v>109</v>
      </c>
      <c r="B81" s="1">
        <v>1</v>
      </c>
      <c r="C81" s="1" t="s">
        <v>20</v>
      </c>
      <c r="D81" s="1">
        <v>53039</v>
      </c>
      <c r="E81" s="1">
        <v>2300</v>
      </c>
      <c r="F81" s="2">
        <v>45960</v>
      </c>
      <c r="G81" s="2">
        <v>45967</v>
      </c>
      <c r="H81" s="1">
        <v>7</v>
      </c>
      <c r="I81" s="1" t="s">
        <v>13</v>
      </c>
      <c r="J81" s="1" t="s">
        <v>14</v>
      </c>
      <c r="K81" s="1" t="s">
        <v>32</v>
      </c>
      <c r="L81" s="1">
        <f t="shared" si="6"/>
        <v>1</v>
      </c>
      <c r="M81" s="1" t="str">
        <f t="shared" si="7"/>
        <v>Delayed</v>
      </c>
      <c r="N81" s="1" t="str">
        <f t="shared" si="8"/>
        <v>Medium</v>
      </c>
      <c r="O81" s="1">
        <f t="shared" si="9"/>
        <v>1</v>
      </c>
      <c r="P81" s="1" t="str">
        <f t="shared" si="10"/>
        <v>Mid Loan</v>
      </c>
      <c r="Q81" s="1">
        <f t="shared" si="11"/>
        <v>0</v>
      </c>
    </row>
    <row r="82" spans="1:17" x14ac:dyDescent="0.3">
      <c r="A82" s="1" t="s">
        <v>110</v>
      </c>
      <c r="B82" s="1">
        <v>3</v>
      </c>
      <c r="C82" s="1" t="s">
        <v>20</v>
      </c>
      <c r="D82" s="1">
        <v>78606</v>
      </c>
      <c r="E82" s="1">
        <v>4400</v>
      </c>
      <c r="F82" s="2">
        <v>45937</v>
      </c>
      <c r="G82" s="2">
        <v>45937</v>
      </c>
      <c r="H82" s="1">
        <v>0</v>
      </c>
      <c r="I82" s="1" t="s">
        <v>21</v>
      </c>
      <c r="J82" s="1" t="s">
        <v>22</v>
      </c>
      <c r="K82" s="1" t="s">
        <v>44</v>
      </c>
      <c r="L82" s="1">
        <f t="shared" si="6"/>
        <v>0</v>
      </c>
      <c r="M82" s="1" t="str">
        <f t="shared" si="7"/>
        <v>On Time</v>
      </c>
      <c r="N82" s="1" t="str">
        <f t="shared" si="8"/>
        <v>Low</v>
      </c>
      <c r="O82" s="1">
        <f t="shared" si="9"/>
        <v>0</v>
      </c>
      <c r="P82" s="1" t="str">
        <f t="shared" si="10"/>
        <v>High Loan</v>
      </c>
      <c r="Q82" s="1">
        <f t="shared" si="11"/>
        <v>1</v>
      </c>
    </row>
    <row r="83" spans="1:17" x14ac:dyDescent="0.3">
      <c r="A83" s="1" t="s">
        <v>111</v>
      </c>
      <c r="B83" s="1">
        <v>2</v>
      </c>
      <c r="C83" s="1" t="s">
        <v>30</v>
      </c>
      <c r="D83" s="1">
        <v>30616</v>
      </c>
      <c r="E83" s="1">
        <v>2200</v>
      </c>
      <c r="F83" s="2">
        <v>45942</v>
      </c>
      <c r="G83" s="2">
        <v>45949</v>
      </c>
      <c r="H83" s="1">
        <v>7</v>
      </c>
      <c r="I83" s="1" t="s">
        <v>21</v>
      </c>
      <c r="J83" s="1" t="s">
        <v>22</v>
      </c>
      <c r="K83" s="1" t="s">
        <v>54</v>
      </c>
      <c r="L83" s="1">
        <f t="shared" si="6"/>
        <v>1</v>
      </c>
      <c r="M83" s="1" t="str">
        <f t="shared" si="7"/>
        <v>Delayed</v>
      </c>
      <c r="N83" s="1" t="str">
        <f t="shared" si="8"/>
        <v>Medium</v>
      </c>
      <c r="O83" s="1">
        <f t="shared" si="9"/>
        <v>0</v>
      </c>
      <c r="P83" s="1" t="str">
        <f t="shared" si="10"/>
        <v>Low Loan</v>
      </c>
      <c r="Q83" s="1">
        <f t="shared" si="11"/>
        <v>0</v>
      </c>
    </row>
    <row r="84" spans="1:17" x14ac:dyDescent="0.3">
      <c r="A84" s="1" t="s">
        <v>112</v>
      </c>
      <c r="B84" s="1">
        <v>2</v>
      </c>
      <c r="C84" s="1" t="s">
        <v>20</v>
      </c>
      <c r="D84" s="1">
        <v>70072</v>
      </c>
      <c r="E84" s="1">
        <v>3900</v>
      </c>
      <c r="F84" s="2">
        <v>45945</v>
      </c>
      <c r="G84" s="2">
        <v>45975</v>
      </c>
      <c r="H84" s="1">
        <v>30</v>
      </c>
      <c r="I84" s="1" t="s">
        <v>28</v>
      </c>
      <c r="J84" s="1" t="s">
        <v>22</v>
      </c>
      <c r="K84" s="1" t="s">
        <v>70</v>
      </c>
      <c r="L84" s="1">
        <f t="shared" si="6"/>
        <v>1</v>
      </c>
      <c r="M84" s="1" t="str">
        <f t="shared" si="7"/>
        <v>Delayed</v>
      </c>
      <c r="N84" s="1" t="str">
        <f t="shared" si="8"/>
        <v>High</v>
      </c>
      <c r="O84" s="1">
        <f t="shared" si="9"/>
        <v>0</v>
      </c>
      <c r="P84" s="1" t="str">
        <f t="shared" si="10"/>
        <v>High Loan</v>
      </c>
      <c r="Q84" s="1">
        <f t="shared" si="11"/>
        <v>0</v>
      </c>
    </row>
    <row r="85" spans="1:17" x14ac:dyDescent="0.3">
      <c r="A85" s="1" t="s">
        <v>113</v>
      </c>
      <c r="B85" s="1">
        <v>1</v>
      </c>
      <c r="C85" s="1" t="s">
        <v>20</v>
      </c>
      <c r="D85" s="1">
        <v>44574</v>
      </c>
      <c r="E85" s="1">
        <v>2800</v>
      </c>
      <c r="F85" s="2">
        <v>45955</v>
      </c>
      <c r="G85" s="2">
        <v>45955</v>
      </c>
      <c r="H85" s="1">
        <v>0</v>
      </c>
      <c r="I85" s="1" t="s">
        <v>17</v>
      </c>
      <c r="J85" s="1" t="s">
        <v>22</v>
      </c>
      <c r="K85" s="1" t="s">
        <v>26</v>
      </c>
      <c r="L85" s="1">
        <f t="shared" si="6"/>
        <v>0</v>
      </c>
      <c r="M85" s="1" t="str">
        <f t="shared" si="7"/>
        <v>On Time</v>
      </c>
      <c r="N85" s="1" t="str">
        <f t="shared" si="8"/>
        <v>Low</v>
      </c>
      <c r="O85" s="1">
        <f t="shared" si="9"/>
        <v>0</v>
      </c>
      <c r="P85" s="1" t="str">
        <f t="shared" si="10"/>
        <v>Mid Loan</v>
      </c>
      <c r="Q85" s="1">
        <f t="shared" si="11"/>
        <v>1</v>
      </c>
    </row>
    <row r="86" spans="1:17" x14ac:dyDescent="0.3">
      <c r="A86" s="1" t="s">
        <v>114</v>
      </c>
      <c r="B86" s="1">
        <v>2</v>
      </c>
      <c r="C86" s="1" t="s">
        <v>12</v>
      </c>
      <c r="D86" s="1">
        <v>23430</v>
      </c>
      <c r="E86" s="1">
        <v>3900</v>
      </c>
      <c r="F86" s="2">
        <v>45935</v>
      </c>
      <c r="G86" s="2">
        <v>45950</v>
      </c>
      <c r="H86" s="1">
        <v>15</v>
      </c>
      <c r="I86" s="1" t="s">
        <v>28</v>
      </c>
      <c r="J86" s="1" t="s">
        <v>14</v>
      </c>
      <c r="K86" s="1" t="s">
        <v>23</v>
      </c>
      <c r="L86" s="1">
        <f t="shared" si="6"/>
        <v>1</v>
      </c>
      <c r="M86" s="1" t="str">
        <f t="shared" si="7"/>
        <v>Delayed</v>
      </c>
      <c r="N86" s="1" t="str">
        <f t="shared" si="8"/>
        <v>High</v>
      </c>
      <c r="O86" s="1">
        <f t="shared" si="9"/>
        <v>1</v>
      </c>
      <c r="P86" s="1" t="str">
        <f t="shared" si="10"/>
        <v>Low Loan</v>
      </c>
      <c r="Q86" s="1">
        <f t="shared" si="11"/>
        <v>0</v>
      </c>
    </row>
    <row r="87" spans="1:17" x14ac:dyDescent="0.3">
      <c r="A87" s="1" t="s">
        <v>115</v>
      </c>
      <c r="B87" s="1">
        <v>2</v>
      </c>
      <c r="C87" s="1" t="s">
        <v>20</v>
      </c>
      <c r="D87" s="1">
        <v>32676</v>
      </c>
      <c r="E87" s="1">
        <v>2700</v>
      </c>
      <c r="F87" s="2">
        <v>45945</v>
      </c>
      <c r="G87" s="2">
        <v>45945</v>
      </c>
      <c r="H87" s="1">
        <v>0</v>
      </c>
      <c r="I87" s="1" t="s">
        <v>13</v>
      </c>
      <c r="J87" s="1" t="s">
        <v>22</v>
      </c>
      <c r="K87" s="1" t="s">
        <v>44</v>
      </c>
      <c r="L87" s="1">
        <f t="shared" si="6"/>
        <v>0</v>
      </c>
      <c r="M87" s="1" t="str">
        <f t="shared" si="7"/>
        <v>On Time</v>
      </c>
      <c r="N87" s="1" t="str">
        <f t="shared" si="8"/>
        <v>Low</v>
      </c>
      <c r="O87" s="1">
        <f t="shared" si="9"/>
        <v>0</v>
      </c>
      <c r="P87" s="1" t="str">
        <f t="shared" si="10"/>
        <v>Low Loan</v>
      </c>
      <c r="Q87" s="1">
        <f t="shared" si="11"/>
        <v>1</v>
      </c>
    </row>
    <row r="88" spans="1:17" x14ac:dyDescent="0.3">
      <c r="A88" s="1" t="s">
        <v>116</v>
      </c>
      <c r="B88" s="1">
        <v>3</v>
      </c>
      <c r="C88" s="1" t="s">
        <v>20</v>
      </c>
      <c r="D88" s="1">
        <v>30816</v>
      </c>
      <c r="E88" s="1">
        <v>1500</v>
      </c>
      <c r="F88" s="2">
        <v>45938</v>
      </c>
      <c r="G88" s="2">
        <v>45968</v>
      </c>
      <c r="H88" s="1">
        <v>30</v>
      </c>
      <c r="I88" s="1" t="s">
        <v>17</v>
      </c>
      <c r="J88" s="1" t="s">
        <v>22</v>
      </c>
      <c r="K88" s="1" t="s">
        <v>54</v>
      </c>
      <c r="L88" s="1">
        <f t="shared" si="6"/>
        <v>1</v>
      </c>
      <c r="M88" s="1" t="str">
        <f t="shared" si="7"/>
        <v>Delayed</v>
      </c>
      <c r="N88" s="1" t="str">
        <f t="shared" si="8"/>
        <v>High</v>
      </c>
      <c r="O88" s="1">
        <f t="shared" si="9"/>
        <v>0</v>
      </c>
      <c r="P88" s="1" t="str">
        <f t="shared" si="10"/>
        <v>Low Loan</v>
      </c>
      <c r="Q88" s="1">
        <f t="shared" si="11"/>
        <v>0</v>
      </c>
    </row>
    <row r="89" spans="1:17" x14ac:dyDescent="0.3">
      <c r="A89" s="1" t="s">
        <v>117</v>
      </c>
      <c r="B89" s="1">
        <v>2</v>
      </c>
      <c r="C89" s="1" t="s">
        <v>20</v>
      </c>
      <c r="D89" s="1">
        <v>52733</v>
      </c>
      <c r="E89" s="1">
        <v>8800</v>
      </c>
      <c r="F89" s="2">
        <v>45940</v>
      </c>
      <c r="G89" s="2">
        <v>45943</v>
      </c>
      <c r="H89" s="1">
        <v>3</v>
      </c>
      <c r="I89" s="1" t="s">
        <v>28</v>
      </c>
      <c r="J89" s="1" t="s">
        <v>22</v>
      </c>
      <c r="K89" s="1" t="s">
        <v>34</v>
      </c>
      <c r="L89" s="1">
        <f t="shared" si="6"/>
        <v>1</v>
      </c>
      <c r="M89" s="1" t="str">
        <f t="shared" si="7"/>
        <v>Delayed</v>
      </c>
      <c r="N89" s="1" t="str">
        <f t="shared" si="8"/>
        <v>Medium</v>
      </c>
      <c r="O89" s="1">
        <f t="shared" si="9"/>
        <v>0</v>
      </c>
      <c r="P89" s="1" t="str">
        <f t="shared" si="10"/>
        <v>Mid Loan</v>
      </c>
      <c r="Q89" s="1">
        <f t="shared" si="11"/>
        <v>0</v>
      </c>
    </row>
    <row r="90" spans="1:17" x14ac:dyDescent="0.3">
      <c r="A90" s="1" t="s">
        <v>118</v>
      </c>
      <c r="B90" s="1">
        <v>3</v>
      </c>
      <c r="C90" s="1" t="s">
        <v>20</v>
      </c>
      <c r="D90" s="1">
        <v>22050</v>
      </c>
      <c r="E90" s="1">
        <v>1300</v>
      </c>
      <c r="F90" s="2">
        <v>45956</v>
      </c>
      <c r="G90" s="2">
        <v>45986</v>
      </c>
      <c r="H90" s="1">
        <v>30</v>
      </c>
      <c r="I90" s="1" t="s">
        <v>17</v>
      </c>
      <c r="J90" s="1" t="s">
        <v>22</v>
      </c>
      <c r="K90" s="1" t="s">
        <v>44</v>
      </c>
      <c r="L90" s="1">
        <f t="shared" si="6"/>
        <v>1</v>
      </c>
      <c r="M90" s="1" t="str">
        <f t="shared" si="7"/>
        <v>Delayed</v>
      </c>
      <c r="N90" s="1" t="str">
        <f t="shared" si="8"/>
        <v>High</v>
      </c>
      <c r="O90" s="1">
        <f t="shared" si="9"/>
        <v>0</v>
      </c>
      <c r="P90" s="1" t="str">
        <f t="shared" si="10"/>
        <v>Low Loan</v>
      </c>
      <c r="Q90" s="1">
        <f t="shared" si="11"/>
        <v>0</v>
      </c>
    </row>
    <row r="91" spans="1:17" x14ac:dyDescent="0.3">
      <c r="A91" s="1" t="s">
        <v>119</v>
      </c>
      <c r="B91" s="1">
        <v>2</v>
      </c>
      <c r="C91" s="1" t="s">
        <v>20</v>
      </c>
      <c r="D91" s="1">
        <v>53933</v>
      </c>
      <c r="E91" s="1">
        <v>4500</v>
      </c>
      <c r="F91" s="2">
        <v>45946</v>
      </c>
      <c r="G91" s="2">
        <v>45946</v>
      </c>
      <c r="H91" s="1">
        <v>0</v>
      </c>
      <c r="I91" s="1" t="s">
        <v>17</v>
      </c>
      <c r="J91" s="1" t="s">
        <v>22</v>
      </c>
      <c r="K91" s="1" t="s">
        <v>26</v>
      </c>
      <c r="L91" s="1">
        <f t="shared" si="6"/>
        <v>0</v>
      </c>
      <c r="M91" s="1" t="str">
        <f t="shared" si="7"/>
        <v>On Time</v>
      </c>
      <c r="N91" s="1" t="str">
        <f t="shared" si="8"/>
        <v>Low</v>
      </c>
      <c r="O91" s="1">
        <f t="shared" si="9"/>
        <v>0</v>
      </c>
      <c r="P91" s="1" t="str">
        <f t="shared" si="10"/>
        <v>Mid Loan</v>
      </c>
      <c r="Q91" s="1">
        <f t="shared" si="11"/>
        <v>1</v>
      </c>
    </row>
    <row r="92" spans="1:17" x14ac:dyDescent="0.3">
      <c r="A92" s="1" t="s">
        <v>120</v>
      </c>
      <c r="B92" s="1">
        <v>1</v>
      </c>
      <c r="C92" s="1" t="s">
        <v>20</v>
      </c>
      <c r="D92" s="1">
        <v>44951</v>
      </c>
      <c r="E92" s="1">
        <v>2200</v>
      </c>
      <c r="F92" s="2">
        <v>45938</v>
      </c>
      <c r="G92" s="2">
        <v>45938</v>
      </c>
      <c r="H92" s="1">
        <v>0</v>
      </c>
      <c r="I92" s="1" t="s">
        <v>17</v>
      </c>
      <c r="J92" s="1" t="s">
        <v>22</v>
      </c>
      <c r="K92" s="1" t="s">
        <v>18</v>
      </c>
      <c r="L92" s="1">
        <f t="shared" si="6"/>
        <v>0</v>
      </c>
      <c r="M92" s="1" t="str">
        <f t="shared" si="7"/>
        <v>On Time</v>
      </c>
      <c r="N92" s="1" t="str">
        <f t="shared" si="8"/>
        <v>Low</v>
      </c>
      <c r="O92" s="1">
        <f t="shared" si="9"/>
        <v>0</v>
      </c>
      <c r="P92" s="1" t="str">
        <f t="shared" si="10"/>
        <v>Mid Loan</v>
      </c>
      <c r="Q92" s="1">
        <f t="shared" si="11"/>
        <v>1</v>
      </c>
    </row>
    <row r="93" spans="1:17" x14ac:dyDescent="0.3">
      <c r="A93" s="1" t="s">
        <v>121</v>
      </c>
      <c r="B93" s="1">
        <v>3</v>
      </c>
      <c r="C93" s="1" t="s">
        <v>12</v>
      </c>
      <c r="D93" s="1">
        <v>52413</v>
      </c>
      <c r="E93" s="1">
        <v>8700</v>
      </c>
      <c r="F93" s="2">
        <v>45931</v>
      </c>
      <c r="G93" s="2">
        <v>45931</v>
      </c>
      <c r="H93" s="1">
        <v>0</v>
      </c>
      <c r="I93" s="1" t="s">
        <v>21</v>
      </c>
      <c r="J93" s="1" t="s">
        <v>14</v>
      </c>
      <c r="K93" s="1" t="s">
        <v>26</v>
      </c>
      <c r="L93" s="1">
        <f t="shared" si="6"/>
        <v>0</v>
      </c>
      <c r="M93" s="1" t="str">
        <f t="shared" si="7"/>
        <v>On Time</v>
      </c>
      <c r="N93" s="1" t="str">
        <f t="shared" si="8"/>
        <v>Low</v>
      </c>
      <c r="O93" s="1">
        <f t="shared" si="9"/>
        <v>1</v>
      </c>
      <c r="P93" s="1" t="str">
        <f t="shared" si="10"/>
        <v>Mid Loan</v>
      </c>
      <c r="Q93" s="1">
        <f t="shared" si="11"/>
        <v>1</v>
      </c>
    </row>
    <row r="94" spans="1:17" x14ac:dyDescent="0.3">
      <c r="A94" s="1" t="s">
        <v>122</v>
      </c>
      <c r="B94" s="1">
        <v>3</v>
      </c>
      <c r="C94" s="1" t="s">
        <v>20</v>
      </c>
      <c r="D94" s="1">
        <v>54801</v>
      </c>
      <c r="E94" s="1">
        <v>2500</v>
      </c>
      <c r="F94" s="2">
        <v>45942</v>
      </c>
      <c r="G94" s="2">
        <v>45942</v>
      </c>
      <c r="H94" s="1">
        <v>0</v>
      </c>
      <c r="I94" s="1" t="s">
        <v>28</v>
      </c>
      <c r="J94" s="1" t="s">
        <v>22</v>
      </c>
      <c r="K94" s="1" t="s">
        <v>26</v>
      </c>
      <c r="L94" s="1">
        <f t="shared" si="6"/>
        <v>0</v>
      </c>
      <c r="M94" s="1" t="str">
        <f t="shared" si="7"/>
        <v>On Time</v>
      </c>
      <c r="N94" s="1" t="str">
        <f t="shared" si="8"/>
        <v>Low</v>
      </c>
      <c r="O94" s="1">
        <f t="shared" si="9"/>
        <v>0</v>
      </c>
      <c r="P94" s="1" t="str">
        <f t="shared" si="10"/>
        <v>Mid Loan</v>
      </c>
      <c r="Q94" s="1">
        <f t="shared" si="11"/>
        <v>1</v>
      </c>
    </row>
    <row r="95" spans="1:17" x14ac:dyDescent="0.3">
      <c r="A95" s="1" t="s">
        <v>123</v>
      </c>
      <c r="B95" s="1">
        <v>2</v>
      </c>
      <c r="C95" s="1" t="s">
        <v>20</v>
      </c>
      <c r="D95" s="1">
        <v>75619</v>
      </c>
      <c r="E95" s="1">
        <v>3400</v>
      </c>
      <c r="F95" s="2">
        <v>45935</v>
      </c>
      <c r="G95" s="2">
        <v>45935</v>
      </c>
      <c r="H95" s="1">
        <v>0</v>
      </c>
      <c r="I95" s="1" t="s">
        <v>28</v>
      </c>
      <c r="J95" s="1" t="s">
        <v>22</v>
      </c>
      <c r="K95" s="1" t="s">
        <v>44</v>
      </c>
      <c r="L95" s="1">
        <f t="shared" si="6"/>
        <v>0</v>
      </c>
      <c r="M95" s="1" t="str">
        <f t="shared" si="7"/>
        <v>On Time</v>
      </c>
      <c r="N95" s="1" t="str">
        <f t="shared" si="8"/>
        <v>Low</v>
      </c>
      <c r="O95" s="1">
        <f t="shared" si="9"/>
        <v>0</v>
      </c>
      <c r="P95" s="1" t="str">
        <f t="shared" si="10"/>
        <v>High Loan</v>
      </c>
      <c r="Q95" s="1">
        <f t="shared" si="11"/>
        <v>1</v>
      </c>
    </row>
    <row r="96" spans="1:17" x14ac:dyDescent="0.3">
      <c r="A96" s="1" t="s">
        <v>124</v>
      </c>
      <c r="B96" s="1">
        <v>3</v>
      </c>
      <c r="C96" s="1" t="s">
        <v>12</v>
      </c>
      <c r="D96" s="1">
        <v>52913</v>
      </c>
      <c r="E96" s="1">
        <v>6600</v>
      </c>
      <c r="F96" s="2">
        <v>45933</v>
      </c>
      <c r="G96" s="2">
        <v>45933</v>
      </c>
      <c r="H96" s="1">
        <v>0</v>
      </c>
      <c r="I96" s="1" t="s">
        <v>28</v>
      </c>
      <c r="J96" s="1" t="s">
        <v>22</v>
      </c>
      <c r="K96" s="1" t="s">
        <v>26</v>
      </c>
      <c r="L96" s="1">
        <f t="shared" si="6"/>
        <v>0</v>
      </c>
      <c r="M96" s="1" t="str">
        <f t="shared" si="7"/>
        <v>On Time</v>
      </c>
      <c r="N96" s="1" t="str">
        <f t="shared" si="8"/>
        <v>Low</v>
      </c>
      <c r="O96" s="1">
        <f t="shared" si="9"/>
        <v>0</v>
      </c>
      <c r="P96" s="1" t="str">
        <f t="shared" si="10"/>
        <v>Mid Loan</v>
      </c>
      <c r="Q96" s="1">
        <f t="shared" si="11"/>
        <v>1</v>
      </c>
    </row>
    <row r="97" spans="1:17" x14ac:dyDescent="0.3">
      <c r="A97" s="1" t="s">
        <v>125</v>
      </c>
      <c r="B97" s="1">
        <v>2</v>
      </c>
      <c r="C97" s="1" t="s">
        <v>20</v>
      </c>
      <c r="D97" s="1">
        <v>60600</v>
      </c>
      <c r="E97" s="1">
        <v>3600</v>
      </c>
      <c r="F97" s="2">
        <v>45931</v>
      </c>
      <c r="G97" s="2">
        <v>45931</v>
      </c>
      <c r="H97" s="1">
        <v>0</v>
      </c>
      <c r="I97" s="1" t="s">
        <v>13</v>
      </c>
      <c r="J97" s="1" t="s">
        <v>22</v>
      </c>
      <c r="K97" s="1" t="s">
        <v>26</v>
      </c>
      <c r="L97" s="1">
        <f t="shared" si="6"/>
        <v>0</v>
      </c>
      <c r="M97" s="1" t="str">
        <f t="shared" si="7"/>
        <v>On Time</v>
      </c>
      <c r="N97" s="1" t="str">
        <f t="shared" si="8"/>
        <v>Low</v>
      </c>
      <c r="O97" s="1">
        <f t="shared" si="9"/>
        <v>0</v>
      </c>
      <c r="P97" s="1" t="str">
        <f t="shared" si="10"/>
        <v>High Loan</v>
      </c>
      <c r="Q97" s="1">
        <f t="shared" si="11"/>
        <v>1</v>
      </c>
    </row>
    <row r="98" spans="1:17" x14ac:dyDescent="0.3">
      <c r="A98" s="1" t="s">
        <v>126</v>
      </c>
      <c r="B98" s="1">
        <v>2</v>
      </c>
      <c r="C98" s="1" t="s">
        <v>12</v>
      </c>
      <c r="D98" s="1">
        <v>77775</v>
      </c>
      <c r="E98" s="1">
        <v>7100</v>
      </c>
      <c r="F98" s="2">
        <v>45934</v>
      </c>
      <c r="G98" s="2">
        <v>45934</v>
      </c>
      <c r="H98" s="1">
        <v>0</v>
      </c>
      <c r="I98" s="1" t="s">
        <v>28</v>
      </c>
      <c r="J98" s="1" t="s">
        <v>14</v>
      </c>
      <c r="K98" s="1" t="s">
        <v>18</v>
      </c>
      <c r="L98" s="1">
        <f t="shared" si="6"/>
        <v>0</v>
      </c>
      <c r="M98" s="1" t="str">
        <f t="shared" si="7"/>
        <v>On Time</v>
      </c>
      <c r="N98" s="1" t="str">
        <f t="shared" si="8"/>
        <v>Low</v>
      </c>
      <c r="O98" s="1">
        <f t="shared" si="9"/>
        <v>1</v>
      </c>
      <c r="P98" s="1" t="str">
        <f t="shared" si="10"/>
        <v>High Loan</v>
      </c>
      <c r="Q98" s="1">
        <f t="shared" si="11"/>
        <v>1</v>
      </c>
    </row>
    <row r="99" spans="1:17" x14ac:dyDescent="0.3">
      <c r="A99" s="1" t="s">
        <v>127</v>
      </c>
      <c r="B99" s="1">
        <v>2</v>
      </c>
      <c r="C99" s="1" t="s">
        <v>20</v>
      </c>
      <c r="D99" s="1">
        <v>55400</v>
      </c>
      <c r="E99" s="1">
        <v>3500</v>
      </c>
      <c r="F99" s="2">
        <v>45938</v>
      </c>
      <c r="G99" s="2">
        <v>45953</v>
      </c>
      <c r="H99" s="1">
        <v>15</v>
      </c>
      <c r="I99" s="1" t="s">
        <v>17</v>
      </c>
      <c r="J99" s="1" t="s">
        <v>14</v>
      </c>
      <c r="K99" s="1" t="s">
        <v>23</v>
      </c>
      <c r="L99" s="1">
        <f t="shared" si="6"/>
        <v>1</v>
      </c>
      <c r="M99" s="1" t="str">
        <f t="shared" si="7"/>
        <v>Delayed</v>
      </c>
      <c r="N99" s="1" t="str">
        <f t="shared" si="8"/>
        <v>High</v>
      </c>
      <c r="O99" s="1">
        <f t="shared" si="9"/>
        <v>1</v>
      </c>
      <c r="P99" s="1" t="str">
        <f t="shared" si="10"/>
        <v>Mid Loan</v>
      </c>
      <c r="Q99" s="1">
        <f t="shared" si="11"/>
        <v>0</v>
      </c>
    </row>
    <row r="100" spans="1:17" x14ac:dyDescent="0.3">
      <c r="A100" s="1" t="s">
        <v>128</v>
      </c>
      <c r="B100" s="1">
        <v>1</v>
      </c>
      <c r="C100" s="1" t="s">
        <v>20</v>
      </c>
      <c r="D100" s="1">
        <v>24494</v>
      </c>
      <c r="E100" s="1">
        <v>3100</v>
      </c>
      <c r="F100" s="2">
        <v>45933</v>
      </c>
      <c r="G100" s="2">
        <v>45933</v>
      </c>
      <c r="H100" s="1">
        <v>0</v>
      </c>
      <c r="I100" s="1" t="s">
        <v>28</v>
      </c>
      <c r="J100" s="1" t="s">
        <v>22</v>
      </c>
      <c r="K100" s="1" t="s">
        <v>15</v>
      </c>
      <c r="L100" s="1">
        <f t="shared" si="6"/>
        <v>0</v>
      </c>
      <c r="M100" s="1" t="str">
        <f t="shared" si="7"/>
        <v>On Time</v>
      </c>
      <c r="N100" s="1" t="str">
        <f t="shared" si="8"/>
        <v>Low</v>
      </c>
      <c r="O100" s="1">
        <f t="shared" si="9"/>
        <v>0</v>
      </c>
      <c r="P100" s="1" t="str">
        <f t="shared" si="10"/>
        <v>Low Loan</v>
      </c>
      <c r="Q100" s="1">
        <f t="shared" si="11"/>
        <v>1</v>
      </c>
    </row>
    <row r="101" spans="1:17" x14ac:dyDescent="0.3">
      <c r="A101" s="1" t="s">
        <v>129</v>
      </c>
      <c r="B101" s="1">
        <v>1</v>
      </c>
      <c r="C101" s="1" t="s">
        <v>20</v>
      </c>
      <c r="D101" s="1">
        <v>94691</v>
      </c>
      <c r="E101" s="1">
        <v>7300</v>
      </c>
      <c r="F101" s="2">
        <v>45940</v>
      </c>
      <c r="G101" s="2">
        <v>45940</v>
      </c>
      <c r="H101" s="1">
        <v>0</v>
      </c>
      <c r="I101" s="1" t="s">
        <v>21</v>
      </c>
      <c r="J101" s="1" t="s">
        <v>22</v>
      </c>
      <c r="K101" s="1" t="s">
        <v>15</v>
      </c>
      <c r="L101" s="1">
        <f t="shared" si="6"/>
        <v>0</v>
      </c>
      <c r="M101" s="1" t="str">
        <f t="shared" si="7"/>
        <v>On Time</v>
      </c>
      <c r="N101" s="1" t="str">
        <f t="shared" si="8"/>
        <v>Low</v>
      </c>
      <c r="O101" s="1">
        <f t="shared" si="9"/>
        <v>0</v>
      </c>
      <c r="P101" s="1" t="str">
        <f t="shared" si="10"/>
        <v>Very High Loan</v>
      </c>
      <c r="Q101" s="1">
        <f t="shared" si="11"/>
        <v>1</v>
      </c>
    </row>
    <row r="102" spans="1:17" x14ac:dyDescent="0.3">
      <c r="A102" s="1" t="s">
        <v>130</v>
      </c>
      <c r="B102" s="1">
        <v>1</v>
      </c>
      <c r="C102" s="1" t="s">
        <v>20</v>
      </c>
      <c r="D102" s="1">
        <v>63001</v>
      </c>
      <c r="E102" s="1">
        <v>3300</v>
      </c>
      <c r="F102" s="2">
        <v>45932</v>
      </c>
      <c r="G102" s="2">
        <v>45932</v>
      </c>
      <c r="H102" s="1">
        <v>0</v>
      </c>
      <c r="I102" s="1" t="s">
        <v>17</v>
      </c>
      <c r="J102" s="1" t="s">
        <v>14</v>
      </c>
      <c r="K102" s="1" t="s">
        <v>56</v>
      </c>
      <c r="L102" s="1">
        <f t="shared" si="6"/>
        <v>0</v>
      </c>
      <c r="M102" s="1" t="str">
        <f t="shared" si="7"/>
        <v>On Time</v>
      </c>
      <c r="N102" s="1" t="str">
        <f t="shared" si="8"/>
        <v>Low</v>
      </c>
      <c r="O102" s="1">
        <f t="shared" si="9"/>
        <v>1</v>
      </c>
      <c r="P102" s="1" t="str">
        <f t="shared" si="10"/>
        <v>High Loan</v>
      </c>
      <c r="Q102" s="1">
        <f t="shared" si="11"/>
        <v>1</v>
      </c>
    </row>
    <row r="103" spans="1:17" x14ac:dyDescent="0.3">
      <c r="A103" s="1" t="s">
        <v>131</v>
      </c>
      <c r="B103" s="1">
        <v>2</v>
      </c>
      <c r="C103" s="1" t="s">
        <v>20</v>
      </c>
      <c r="D103" s="1">
        <v>87364</v>
      </c>
      <c r="E103" s="1">
        <v>4600</v>
      </c>
      <c r="F103" s="2">
        <v>45941</v>
      </c>
      <c r="G103" s="2">
        <v>45941</v>
      </c>
      <c r="H103" s="1">
        <v>0</v>
      </c>
      <c r="I103" s="1" t="s">
        <v>13</v>
      </c>
      <c r="J103" s="1" t="s">
        <v>22</v>
      </c>
      <c r="K103" s="1" t="s">
        <v>34</v>
      </c>
      <c r="L103" s="1">
        <f t="shared" si="6"/>
        <v>0</v>
      </c>
      <c r="M103" s="1" t="str">
        <f t="shared" si="7"/>
        <v>On Time</v>
      </c>
      <c r="N103" s="1" t="str">
        <f t="shared" si="8"/>
        <v>Low</v>
      </c>
      <c r="O103" s="1">
        <f t="shared" si="9"/>
        <v>0</v>
      </c>
      <c r="P103" s="1" t="str">
        <f t="shared" si="10"/>
        <v>Very High Loan</v>
      </c>
      <c r="Q103" s="1">
        <f t="shared" si="11"/>
        <v>1</v>
      </c>
    </row>
    <row r="104" spans="1:17" x14ac:dyDescent="0.3">
      <c r="A104" s="1" t="s">
        <v>132</v>
      </c>
      <c r="B104" s="1">
        <v>2</v>
      </c>
      <c r="C104" s="1" t="s">
        <v>20</v>
      </c>
      <c r="D104" s="1">
        <v>65028</v>
      </c>
      <c r="E104" s="1">
        <v>4300</v>
      </c>
      <c r="F104" s="2">
        <v>45955</v>
      </c>
      <c r="G104" s="2">
        <v>46000</v>
      </c>
      <c r="H104" s="1">
        <v>45</v>
      </c>
      <c r="I104" s="1" t="s">
        <v>28</v>
      </c>
      <c r="J104" s="1" t="s">
        <v>22</v>
      </c>
      <c r="K104" s="1" t="s">
        <v>34</v>
      </c>
      <c r="L104" s="1">
        <f t="shared" si="6"/>
        <v>1</v>
      </c>
      <c r="M104" s="1" t="str">
        <f t="shared" si="7"/>
        <v>Delayed</v>
      </c>
      <c r="N104" s="1" t="str">
        <f t="shared" si="8"/>
        <v>High</v>
      </c>
      <c r="O104" s="1">
        <f t="shared" si="9"/>
        <v>0</v>
      </c>
      <c r="P104" s="1" t="str">
        <f t="shared" si="10"/>
        <v>High Loan</v>
      </c>
      <c r="Q104" s="1">
        <f t="shared" si="11"/>
        <v>0</v>
      </c>
    </row>
    <row r="105" spans="1:17" x14ac:dyDescent="0.3">
      <c r="A105" s="1" t="s">
        <v>133</v>
      </c>
      <c r="B105" s="1">
        <v>2</v>
      </c>
      <c r="C105" s="1" t="s">
        <v>20</v>
      </c>
      <c r="D105" s="1">
        <v>57573</v>
      </c>
      <c r="E105" s="1">
        <v>8200</v>
      </c>
      <c r="F105" s="2">
        <v>45940</v>
      </c>
      <c r="G105" s="2">
        <v>45940</v>
      </c>
      <c r="H105" s="1">
        <v>0</v>
      </c>
      <c r="I105" s="1" t="s">
        <v>21</v>
      </c>
      <c r="J105" s="1" t="s">
        <v>14</v>
      </c>
      <c r="K105" s="1" t="s">
        <v>56</v>
      </c>
      <c r="L105" s="1">
        <f t="shared" si="6"/>
        <v>0</v>
      </c>
      <c r="M105" s="1" t="str">
        <f t="shared" si="7"/>
        <v>On Time</v>
      </c>
      <c r="N105" s="1" t="str">
        <f t="shared" si="8"/>
        <v>Low</v>
      </c>
      <c r="O105" s="1">
        <f t="shared" si="9"/>
        <v>1</v>
      </c>
      <c r="P105" s="1" t="str">
        <f t="shared" si="10"/>
        <v>Mid Loan</v>
      </c>
      <c r="Q105" s="1">
        <f t="shared" si="11"/>
        <v>1</v>
      </c>
    </row>
    <row r="106" spans="1:17" x14ac:dyDescent="0.3">
      <c r="A106" s="1" t="s">
        <v>134</v>
      </c>
      <c r="B106" s="1">
        <v>3</v>
      </c>
      <c r="C106" s="1" t="s">
        <v>20</v>
      </c>
      <c r="D106" s="1">
        <v>20806</v>
      </c>
      <c r="E106" s="1">
        <v>1100</v>
      </c>
      <c r="F106" s="2">
        <v>45951</v>
      </c>
      <c r="G106" s="2">
        <v>45958</v>
      </c>
      <c r="H106" s="1">
        <v>7</v>
      </c>
      <c r="I106" s="1" t="s">
        <v>21</v>
      </c>
      <c r="J106" s="1" t="s">
        <v>22</v>
      </c>
      <c r="K106" s="1" t="s">
        <v>23</v>
      </c>
      <c r="L106" s="1">
        <f t="shared" si="6"/>
        <v>1</v>
      </c>
      <c r="M106" s="1" t="str">
        <f t="shared" si="7"/>
        <v>Delayed</v>
      </c>
      <c r="N106" s="1" t="str">
        <f t="shared" si="8"/>
        <v>Medium</v>
      </c>
      <c r="O106" s="1">
        <f t="shared" si="9"/>
        <v>0</v>
      </c>
      <c r="P106" s="1" t="str">
        <f t="shared" si="10"/>
        <v>Low Loan</v>
      </c>
      <c r="Q106" s="1">
        <f t="shared" si="11"/>
        <v>0</v>
      </c>
    </row>
    <row r="107" spans="1:17" x14ac:dyDescent="0.3">
      <c r="A107" s="1" t="s">
        <v>135</v>
      </c>
      <c r="B107" s="1">
        <v>2</v>
      </c>
      <c r="C107" s="1" t="s">
        <v>20</v>
      </c>
      <c r="D107" s="1">
        <v>76638</v>
      </c>
      <c r="E107" s="1">
        <v>5500</v>
      </c>
      <c r="F107" s="2">
        <v>45944</v>
      </c>
      <c r="G107" s="2">
        <v>45989</v>
      </c>
      <c r="H107" s="1">
        <v>45</v>
      </c>
      <c r="I107" s="1" t="s">
        <v>28</v>
      </c>
      <c r="J107" s="1" t="s">
        <v>22</v>
      </c>
      <c r="K107" s="1" t="s">
        <v>15</v>
      </c>
      <c r="L107" s="1">
        <f t="shared" si="6"/>
        <v>1</v>
      </c>
      <c r="M107" s="1" t="str">
        <f t="shared" si="7"/>
        <v>Delayed</v>
      </c>
      <c r="N107" s="1" t="str">
        <f t="shared" si="8"/>
        <v>High</v>
      </c>
      <c r="O107" s="1">
        <f t="shared" si="9"/>
        <v>0</v>
      </c>
      <c r="P107" s="1" t="str">
        <f t="shared" si="10"/>
        <v>High Loan</v>
      </c>
      <c r="Q107" s="1">
        <f t="shared" si="11"/>
        <v>0</v>
      </c>
    </row>
    <row r="108" spans="1:17" x14ac:dyDescent="0.3">
      <c r="A108" s="1" t="s">
        <v>136</v>
      </c>
      <c r="B108" s="1">
        <v>2</v>
      </c>
      <c r="C108" s="1" t="s">
        <v>20</v>
      </c>
      <c r="D108" s="1">
        <v>49757</v>
      </c>
      <c r="E108" s="1">
        <v>6200</v>
      </c>
      <c r="F108" s="2">
        <v>45937</v>
      </c>
      <c r="G108" s="2">
        <v>45952</v>
      </c>
      <c r="H108" s="1">
        <v>15</v>
      </c>
      <c r="I108" s="1" t="s">
        <v>28</v>
      </c>
      <c r="J108" s="1" t="s">
        <v>22</v>
      </c>
      <c r="K108" s="1" t="s">
        <v>70</v>
      </c>
      <c r="L108" s="1">
        <f t="shared" si="6"/>
        <v>1</v>
      </c>
      <c r="M108" s="1" t="str">
        <f t="shared" si="7"/>
        <v>Delayed</v>
      </c>
      <c r="N108" s="1" t="str">
        <f t="shared" si="8"/>
        <v>High</v>
      </c>
      <c r="O108" s="1">
        <f t="shared" si="9"/>
        <v>0</v>
      </c>
      <c r="P108" s="1" t="str">
        <f t="shared" si="10"/>
        <v>Mid Loan</v>
      </c>
      <c r="Q108" s="1">
        <f t="shared" si="11"/>
        <v>0</v>
      </c>
    </row>
    <row r="109" spans="1:17" x14ac:dyDescent="0.3">
      <c r="A109" s="1" t="s">
        <v>137</v>
      </c>
      <c r="B109" s="1">
        <v>3</v>
      </c>
      <c r="C109" s="1" t="s">
        <v>20</v>
      </c>
      <c r="D109" s="1">
        <v>54636</v>
      </c>
      <c r="E109" s="1">
        <v>4200</v>
      </c>
      <c r="F109" s="2">
        <v>45957</v>
      </c>
      <c r="G109" s="2">
        <v>45960</v>
      </c>
      <c r="H109" s="1">
        <v>3</v>
      </c>
      <c r="I109" s="1" t="s">
        <v>21</v>
      </c>
      <c r="J109" s="1" t="s">
        <v>22</v>
      </c>
      <c r="K109" s="1" t="s">
        <v>32</v>
      </c>
      <c r="L109" s="1">
        <f t="shared" si="6"/>
        <v>1</v>
      </c>
      <c r="M109" s="1" t="str">
        <f t="shared" si="7"/>
        <v>Delayed</v>
      </c>
      <c r="N109" s="1" t="str">
        <f t="shared" si="8"/>
        <v>Medium</v>
      </c>
      <c r="O109" s="1">
        <f t="shared" si="9"/>
        <v>0</v>
      </c>
      <c r="P109" s="1" t="str">
        <f t="shared" si="10"/>
        <v>Mid Loan</v>
      </c>
      <c r="Q109" s="1">
        <f t="shared" si="11"/>
        <v>0</v>
      </c>
    </row>
    <row r="110" spans="1:17" x14ac:dyDescent="0.3">
      <c r="A110" s="1" t="s">
        <v>138</v>
      </c>
      <c r="B110" s="1">
        <v>2</v>
      </c>
      <c r="C110" s="1" t="s">
        <v>12</v>
      </c>
      <c r="D110" s="1">
        <v>68280</v>
      </c>
      <c r="E110" s="1">
        <v>3300</v>
      </c>
      <c r="F110" s="2">
        <v>45957</v>
      </c>
      <c r="G110" s="2">
        <v>45972</v>
      </c>
      <c r="H110" s="1">
        <v>15</v>
      </c>
      <c r="I110" s="1" t="s">
        <v>21</v>
      </c>
      <c r="J110" s="1" t="s">
        <v>14</v>
      </c>
      <c r="K110" s="1" t="s">
        <v>23</v>
      </c>
      <c r="L110" s="1">
        <f t="shared" si="6"/>
        <v>1</v>
      </c>
      <c r="M110" s="1" t="str">
        <f t="shared" si="7"/>
        <v>Delayed</v>
      </c>
      <c r="N110" s="1" t="str">
        <f t="shared" si="8"/>
        <v>High</v>
      </c>
      <c r="O110" s="1">
        <f t="shared" si="9"/>
        <v>1</v>
      </c>
      <c r="P110" s="1" t="str">
        <f t="shared" si="10"/>
        <v>High Loan</v>
      </c>
      <c r="Q110" s="1">
        <f t="shared" si="11"/>
        <v>0</v>
      </c>
    </row>
    <row r="111" spans="1:17" x14ac:dyDescent="0.3">
      <c r="A111" s="1" t="s">
        <v>139</v>
      </c>
      <c r="B111" s="1">
        <v>1</v>
      </c>
      <c r="C111" s="1" t="s">
        <v>12</v>
      </c>
      <c r="D111" s="1">
        <v>44262</v>
      </c>
      <c r="E111" s="1">
        <v>6300</v>
      </c>
      <c r="F111" s="2">
        <v>45932</v>
      </c>
      <c r="G111" s="2">
        <v>45992</v>
      </c>
      <c r="H111" s="1">
        <v>60</v>
      </c>
      <c r="I111" s="1" t="s">
        <v>17</v>
      </c>
      <c r="J111" s="1" t="s">
        <v>22</v>
      </c>
      <c r="K111" s="1" t="s">
        <v>70</v>
      </c>
      <c r="L111" s="1">
        <f t="shared" si="6"/>
        <v>1</v>
      </c>
      <c r="M111" s="1" t="str">
        <f t="shared" si="7"/>
        <v>Delayed</v>
      </c>
      <c r="N111" s="1" t="str">
        <f t="shared" si="8"/>
        <v>High</v>
      </c>
      <c r="O111" s="1">
        <f t="shared" si="9"/>
        <v>0</v>
      </c>
      <c r="P111" s="1" t="str">
        <f t="shared" si="10"/>
        <v>Mid Loan</v>
      </c>
      <c r="Q111" s="1">
        <f t="shared" si="11"/>
        <v>0</v>
      </c>
    </row>
    <row r="112" spans="1:17" x14ac:dyDescent="0.3">
      <c r="A112" s="1" t="s">
        <v>140</v>
      </c>
      <c r="B112" s="1">
        <v>2</v>
      </c>
      <c r="C112" s="1" t="s">
        <v>20</v>
      </c>
      <c r="D112" s="1">
        <v>82211</v>
      </c>
      <c r="E112" s="1">
        <v>7500</v>
      </c>
      <c r="F112" s="2">
        <v>45939</v>
      </c>
      <c r="G112" s="2">
        <v>45942</v>
      </c>
      <c r="H112" s="1">
        <v>3</v>
      </c>
      <c r="I112" s="1" t="s">
        <v>21</v>
      </c>
      <c r="J112" s="1" t="s">
        <v>22</v>
      </c>
      <c r="K112" s="1" t="s">
        <v>56</v>
      </c>
      <c r="L112" s="1">
        <f t="shared" si="6"/>
        <v>1</v>
      </c>
      <c r="M112" s="1" t="str">
        <f t="shared" si="7"/>
        <v>Delayed</v>
      </c>
      <c r="N112" s="1" t="str">
        <f t="shared" si="8"/>
        <v>Medium</v>
      </c>
      <c r="O112" s="1">
        <f t="shared" si="9"/>
        <v>0</v>
      </c>
      <c r="P112" s="1" t="str">
        <f t="shared" si="10"/>
        <v>Very High Loan</v>
      </c>
      <c r="Q112" s="1">
        <f t="shared" si="11"/>
        <v>0</v>
      </c>
    </row>
    <row r="113" spans="1:17" x14ac:dyDescent="0.3">
      <c r="A113" s="1" t="s">
        <v>141</v>
      </c>
      <c r="B113" s="1">
        <v>1</v>
      </c>
      <c r="C113" s="1" t="s">
        <v>12</v>
      </c>
      <c r="D113" s="1">
        <v>74842</v>
      </c>
      <c r="E113" s="1">
        <v>4400</v>
      </c>
      <c r="F113" s="2">
        <v>45946</v>
      </c>
      <c r="G113" s="2">
        <v>45949</v>
      </c>
      <c r="H113" s="1">
        <v>3</v>
      </c>
      <c r="I113" s="1" t="s">
        <v>21</v>
      </c>
      <c r="J113" s="1" t="s">
        <v>22</v>
      </c>
      <c r="K113" s="1" t="s">
        <v>56</v>
      </c>
      <c r="L113" s="1">
        <f t="shared" si="6"/>
        <v>1</v>
      </c>
      <c r="M113" s="1" t="str">
        <f t="shared" si="7"/>
        <v>Delayed</v>
      </c>
      <c r="N113" s="1" t="str">
        <f t="shared" si="8"/>
        <v>Medium</v>
      </c>
      <c r="O113" s="1">
        <f t="shared" si="9"/>
        <v>0</v>
      </c>
      <c r="P113" s="1" t="str">
        <f t="shared" si="10"/>
        <v>High Loan</v>
      </c>
      <c r="Q113" s="1">
        <f t="shared" si="11"/>
        <v>0</v>
      </c>
    </row>
    <row r="114" spans="1:17" x14ac:dyDescent="0.3">
      <c r="A114" s="1" t="s">
        <v>142</v>
      </c>
      <c r="B114" s="1">
        <v>3</v>
      </c>
      <c r="C114" s="1" t="s">
        <v>12</v>
      </c>
      <c r="D114" s="1">
        <v>76979</v>
      </c>
      <c r="E114" s="1">
        <v>7700</v>
      </c>
      <c r="F114" s="2">
        <v>45943</v>
      </c>
      <c r="G114" s="2">
        <v>45946</v>
      </c>
      <c r="H114" s="1">
        <v>3</v>
      </c>
      <c r="I114" s="1" t="s">
        <v>21</v>
      </c>
      <c r="J114" s="1" t="s">
        <v>22</v>
      </c>
      <c r="K114" s="1" t="s">
        <v>54</v>
      </c>
      <c r="L114" s="1">
        <f t="shared" si="6"/>
        <v>1</v>
      </c>
      <c r="M114" s="1" t="str">
        <f t="shared" si="7"/>
        <v>Delayed</v>
      </c>
      <c r="N114" s="1" t="str">
        <f t="shared" si="8"/>
        <v>Medium</v>
      </c>
      <c r="O114" s="1">
        <f t="shared" si="9"/>
        <v>0</v>
      </c>
      <c r="P114" s="1" t="str">
        <f t="shared" si="10"/>
        <v>High Loan</v>
      </c>
      <c r="Q114" s="1">
        <f t="shared" si="11"/>
        <v>0</v>
      </c>
    </row>
    <row r="115" spans="1:17" x14ac:dyDescent="0.3">
      <c r="A115" s="1" t="s">
        <v>143</v>
      </c>
      <c r="B115" s="1">
        <v>3</v>
      </c>
      <c r="C115" s="1" t="s">
        <v>20</v>
      </c>
      <c r="D115" s="1">
        <v>58197</v>
      </c>
      <c r="E115" s="1">
        <v>8300</v>
      </c>
      <c r="F115" s="2">
        <v>45939</v>
      </c>
      <c r="G115" s="2">
        <v>45939</v>
      </c>
      <c r="H115" s="1">
        <v>0</v>
      </c>
      <c r="I115" s="1" t="s">
        <v>17</v>
      </c>
      <c r="J115" s="1" t="s">
        <v>22</v>
      </c>
      <c r="K115" s="1" t="s">
        <v>70</v>
      </c>
      <c r="L115" s="1">
        <f t="shared" si="6"/>
        <v>0</v>
      </c>
      <c r="M115" s="1" t="str">
        <f t="shared" si="7"/>
        <v>On Time</v>
      </c>
      <c r="N115" s="1" t="str">
        <f t="shared" si="8"/>
        <v>Low</v>
      </c>
      <c r="O115" s="1">
        <f t="shared" si="9"/>
        <v>0</v>
      </c>
      <c r="P115" s="1" t="str">
        <f t="shared" si="10"/>
        <v>Mid Loan</v>
      </c>
      <c r="Q115" s="1">
        <f t="shared" si="11"/>
        <v>1</v>
      </c>
    </row>
    <row r="116" spans="1:17" x14ac:dyDescent="0.3">
      <c r="A116" s="1" t="s">
        <v>144</v>
      </c>
      <c r="B116" s="1">
        <v>2</v>
      </c>
      <c r="C116" s="1" t="s">
        <v>12</v>
      </c>
      <c r="D116" s="1">
        <v>61844</v>
      </c>
      <c r="E116" s="1">
        <v>2900</v>
      </c>
      <c r="F116" s="2">
        <v>45950</v>
      </c>
      <c r="G116" s="2">
        <v>45953</v>
      </c>
      <c r="H116" s="1">
        <v>3</v>
      </c>
      <c r="I116" s="1" t="s">
        <v>13</v>
      </c>
      <c r="J116" s="1" t="s">
        <v>22</v>
      </c>
      <c r="K116" s="1" t="s">
        <v>44</v>
      </c>
      <c r="L116" s="1">
        <f t="shared" si="6"/>
        <v>1</v>
      </c>
      <c r="M116" s="1" t="str">
        <f t="shared" si="7"/>
        <v>Delayed</v>
      </c>
      <c r="N116" s="1" t="str">
        <f t="shared" si="8"/>
        <v>Medium</v>
      </c>
      <c r="O116" s="1">
        <f t="shared" si="9"/>
        <v>0</v>
      </c>
      <c r="P116" s="1" t="str">
        <f t="shared" si="10"/>
        <v>High Loan</v>
      </c>
      <c r="Q116" s="1">
        <f t="shared" si="11"/>
        <v>0</v>
      </c>
    </row>
    <row r="117" spans="1:17" x14ac:dyDescent="0.3">
      <c r="A117" s="1" t="s">
        <v>145</v>
      </c>
      <c r="B117" s="1">
        <v>3</v>
      </c>
      <c r="C117" s="1" t="s">
        <v>30</v>
      </c>
      <c r="D117" s="1">
        <v>84754</v>
      </c>
      <c r="E117" s="1">
        <v>8500</v>
      </c>
      <c r="F117" s="2">
        <v>45934</v>
      </c>
      <c r="G117" s="2">
        <v>45934</v>
      </c>
      <c r="H117" s="1">
        <v>0</v>
      </c>
      <c r="I117" s="1" t="s">
        <v>21</v>
      </c>
      <c r="J117" s="1" t="s">
        <v>22</v>
      </c>
      <c r="K117" s="1" t="s">
        <v>15</v>
      </c>
      <c r="L117" s="1">
        <f t="shared" si="6"/>
        <v>0</v>
      </c>
      <c r="M117" s="1" t="str">
        <f t="shared" si="7"/>
        <v>On Time</v>
      </c>
      <c r="N117" s="1" t="str">
        <f t="shared" si="8"/>
        <v>Low</v>
      </c>
      <c r="O117" s="1">
        <f t="shared" si="9"/>
        <v>0</v>
      </c>
      <c r="P117" s="1" t="str">
        <f t="shared" si="10"/>
        <v>Very High Loan</v>
      </c>
      <c r="Q117" s="1">
        <f t="shared" si="11"/>
        <v>1</v>
      </c>
    </row>
    <row r="118" spans="1:17" x14ac:dyDescent="0.3">
      <c r="A118" s="1" t="s">
        <v>146</v>
      </c>
      <c r="B118" s="1">
        <v>3</v>
      </c>
      <c r="C118" s="1" t="s">
        <v>20</v>
      </c>
      <c r="D118" s="1">
        <v>54157</v>
      </c>
      <c r="E118" s="1">
        <v>2700</v>
      </c>
      <c r="F118" s="2">
        <v>45952</v>
      </c>
      <c r="G118" s="2">
        <v>45952</v>
      </c>
      <c r="H118" s="1">
        <v>0</v>
      </c>
      <c r="I118" s="1" t="s">
        <v>17</v>
      </c>
      <c r="J118" s="1" t="s">
        <v>22</v>
      </c>
      <c r="K118" s="1" t="s">
        <v>70</v>
      </c>
      <c r="L118" s="1">
        <f t="shared" si="6"/>
        <v>0</v>
      </c>
      <c r="M118" s="1" t="str">
        <f t="shared" si="7"/>
        <v>On Time</v>
      </c>
      <c r="N118" s="1" t="str">
        <f t="shared" si="8"/>
        <v>Low</v>
      </c>
      <c r="O118" s="1">
        <f t="shared" si="9"/>
        <v>0</v>
      </c>
      <c r="P118" s="1" t="str">
        <f t="shared" si="10"/>
        <v>Mid Loan</v>
      </c>
      <c r="Q118" s="1">
        <f t="shared" si="11"/>
        <v>1</v>
      </c>
    </row>
    <row r="119" spans="1:17" x14ac:dyDescent="0.3">
      <c r="A119" s="1" t="s">
        <v>147</v>
      </c>
      <c r="B119" s="1">
        <v>1</v>
      </c>
      <c r="C119" s="1" t="s">
        <v>20</v>
      </c>
      <c r="D119" s="1">
        <v>97129</v>
      </c>
      <c r="E119" s="1">
        <v>5700</v>
      </c>
      <c r="F119" s="2">
        <v>45940</v>
      </c>
      <c r="G119" s="2">
        <v>45940</v>
      </c>
      <c r="H119" s="1">
        <v>0</v>
      </c>
      <c r="I119" s="1" t="s">
        <v>28</v>
      </c>
      <c r="J119" s="1" t="s">
        <v>22</v>
      </c>
      <c r="K119" s="1" t="s">
        <v>56</v>
      </c>
      <c r="L119" s="1">
        <f t="shared" si="6"/>
        <v>0</v>
      </c>
      <c r="M119" s="1" t="str">
        <f t="shared" si="7"/>
        <v>On Time</v>
      </c>
      <c r="N119" s="1" t="str">
        <f t="shared" si="8"/>
        <v>Low</v>
      </c>
      <c r="O119" s="1">
        <f t="shared" si="9"/>
        <v>0</v>
      </c>
      <c r="P119" s="1" t="str">
        <f t="shared" si="10"/>
        <v>Very High Loan</v>
      </c>
      <c r="Q119" s="1">
        <f t="shared" si="11"/>
        <v>1</v>
      </c>
    </row>
    <row r="120" spans="1:17" x14ac:dyDescent="0.3">
      <c r="A120" s="1" t="s">
        <v>148</v>
      </c>
      <c r="B120" s="1">
        <v>3</v>
      </c>
      <c r="C120" s="1" t="s">
        <v>12</v>
      </c>
      <c r="D120" s="1">
        <v>60042</v>
      </c>
      <c r="E120" s="1">
        <v>6700</v>
      </c>
      <c r="F120" s="2">
        <v>45956</v>
      </c>
      <c r="G120" s="2">
        <v>45956</v>
      </c>
      <c r="H120" s="1">
        <v>0</v>
      </c>
      <c r="I120" s="1" t="s">
        <v>21</v>
      </c>
      <c r="J120" s="1" t="s">
        <v>22</v>
      </c>
      <c r="K120" s="1" t="s">
        <v>56</v>
      </c>
      <c r="L120" s="1">
        <f t="shared" si="6"/>
        <v>0</v>
      </c>
      <c r="M120" s="1" t="str">
        <f t="shared" si="7"/>
        <v>On Time</v>
      </c>
      <c r="N120" s="1" t="str">
        <f t="shared" si="8"/>
        <v>Low</v>
      </c>
      <c r="O120" s="1">
        <f t="shared" si="9"/>
        <v>0</v>
      </c>
      <c r="P120" s="1" t="str">
        <f t="shared" si="10"/>
        <v>High Loan</v>
      </c>
      <c r="Q120" s="1">
        <f t="shared" si="11"/>
        <v>1</v>
      </c>
    </row>
    <row r="121" spans="1:17" x14ac:dyDescent="0.3">
      <c r="A121" s="1" t="s">
        <v>149</v>
      </c>
      <c r="B121" s="1">
        <v>2</v>
      </c>
      <c r="C121" s="1" t="s">
        <v>12</v>
      </c>
      <c r="D121" s="1">
        <v>81665</v>
      </c>
      <c r="E121" s="1">
        <v>4100</v>
      </c>
      <c r="F121" s="2">
        <v>45956</v>
      </c>
      <c r="G121" s="2">
        <v>45956</v>
      </c>
      <c r="H121" s="1">
        <v>0</v>
      </c>
      <c r="I121" s="1" t="s">
        <v>28</v>
      </c>
      <c r="J121" s="1" t="s">
        <v>22</v>
      </c>
      <c r="K121" s="1" t="s">
        <v>32</v>
      </c>
      <c r="L121" s="1">
        <f t="shared" si="6"/>
        <v>0</v>
      </c>
      <c r="M121" s="1" t="str">
        <f t="shared" si="7"/>
        <v>On Time</v>
      </c>
      <c r="N121" s="1" t="str">
        <f t="shared" si="8"/>
        <v>Low</v>
      </c>
      <c r="O121" s="1">
        <f t="shared" si="9"/>
        <v>0</v>
      </c>
      <c r="P121" s="1" t="str">
        <f t="shared" si="10"/>
        <v>Very High Loan</v>
      </c>
      <c r="Q121" s="1">
        <f t="shared" si="11"/>
        <v>1</v>
      </c>
    </row>
    <row r="122" spans="1:17" x14ac:dyDescent="0.3">
      <c r="A122" s="1" t="s">
        <v>150</v>
      </c>
      <c r="B122" s="1">
        <v>3</v>
      </c>
      <c r="C122" s="1" t="s">
        <v>20</v>
      </c>
      <c r="D122" s="1">
        <v>47376</v>
      </c>
      <c r="E122" s="1">
        <v>3000</v>
      </c>
      <c r="F122" s="2">
        <v>45952</v>
      </c>
      <c r="G122" s="2">
        <v>45952</v>
      </c>
      <c r="H122" s="1">
        <v>0</v>
      </c>
      <c r="I122" s="1" t="s">
        <v>21</v>
      </c>
      <c r="J122" s="1" t="s">
        <v>14</v>
      </c>
      <c r="K122" s="1" t="s">
        <v>18</v>
      </c>
      <c r="L122" s="1">
        <f t="shared" si="6"/>
        <v>0</v>
      </c>
      <c r="M122" s="1" t="str">
        <f t="shared" si="7"/>
        <v>On Time</v>
      </c>
      <c r="N122" s="1" t="str">
        <f t="shared" si="8"/>
        <v>Low</v>
      </c>
      <c r="O122" s="1">
        <f t="shared" si="9"/>
        <v>1</v>
      </c>
      <c r="P122" s="1" t="str">
        <f t="shared" si="10"/>
        <v>Mid Loan</v>
      </c>
      <c r="Q122" s="1">
        <f t="shared" si="11"/>
        <v>1</v>
      </c>
    </row>
    <row r="123" spans="1:17" x14ac:dyDescent="0.3">
      <c r="A123" s="1" t="s">
        <v>151</v>
      </c>
      <c r="B123" s="1">
        <v>3</v>
      </c>
      <c r="C123" s="1" t="s">
        <v>20</v>
      </c>
      <c r="D123" s="1">
        <v>75554</v>
      </c>
      <c r="E123" s="1">
        <v>3600</v>
      </c>
      <c r="F123" s="2">
        <v>45942</v>
      </c>
      <c r="G123" s="2">
        <v>45945</v>
      </c>
      <c r="H123" s="1">
        <v>3</v>
      </c>
      <c r="I123" s="1" t="s">
        <v>17</v>
      </c>
      <c r="J123" s="1" t="s">
        <v>14</v>
      </c>
      <c r="K123" s="1" t="s">
        <v>23</v>
      </c>
      <c r="L123" s="1">
        <f t="shared" si="6"/>
        <v>1</v>
      </c>
      <c r="M123" s="1" t="str">
        <f t="shared" si="7"/>
        <v>Delayed</v>
      </c>
      <c r="N123" s="1" t="str">
        <f t="shared" si="8"/>
        <v>Medium</v>
      </c>
      <c r="O123" s="1">
        <f t="shared" si="9"/>
        <v>1</v>
      </c>
      <c r="P123" s="1" t="str">
        <f t="shared" si="10"/>
        <v>High Loan</v>
      </c>
      <c r="Q123" s="1">
        <f t="shared" si="11"/>
        <v>0</v>
      </c>
    </row>
    <row r="124" spans="1:17" x14ac:dyDescent="0.3">
      <c r="A124" s="1" t="s">
        <v>152</v>
      </c>
      <c r="B124" s="1">
        <v>2</v>
      </c>
      <c r="C124" s="1" t="s">
        <v>20</v>
      </c>
      <c r="D124" s="1">
        <v>34199</v>
      </c>
      <c r="E124" s="1">
        <v>3100</v>
      </c>
      <c r="F124" s="2">
        <v>45947</v>
      </c>
      <c r="G124" s="2">
        <v>45947</v>
      </c>
      <c r="H124" s="1">
        <v>0</v>
      </c>
      <c r="I124" s="1" t="s">
        <v>13</v>
      </c>
      <c r="J124" s="1" t="s">
        <v>22</v>
      </c>
      <c r="K124" s="1" t="s">
        <v>54</v>
      </c>
      <c r="L124" s="1">
        <f t="shared" si="6"/>
        <v>0</v>
      </c>
      <c r="M124" s="1" t="str">
        <f t="shared" si="7"/>
        <v>On Time</v>
      </c>
      <c r="N124" s="1" t="str">
        <f t="shared" si="8"/>
        <v>Low</v>
      </c>
      <c r="O124" s="1">
        <f t="shared" si="9"/>
        <v>0</v>
      </c>
      <c r="P124" s="1" t="str">
        <f t="shared" si="10"/>
        <v>Low Loan</v>
      </c>
      <c r="Q124" s="1">
        <f t="shared" si="11"/>
        <v>1</v>
      </c>
    </row>
    <row r="125" spans="1:17" x14ac:dyDescent="0.3">
      <c r="A125" s="1" t="s">
        <v>153</v>
      </c>
      <c r="B125" s="1">
        <v>1</v>
      </c>
      <c r="C125" s="1" t="s">
        <v>20</v>
      </c>
      <c r="D125" s="1">
        <v>70948</v>
      </c>
      <c r="E125" s="1">
        <v>3700</v>
      </c>
      <c r="F125" s="2">
        <v>45944</v>
      </c>
      <c r="G125" s="2">
        <v>45959</v>
      </c>
      <c r="H125" s="1">
        <v>15</v>
      </c>
      <c r="I125" s="1" t="s">
        <v>28</v>
      </c>
      <c r="J125" s="1" t="s">
        <v>22</v>
      </c>
      <c r="K125" s="1" t="s">
        <v>56</v>
      </c>
      <c r="L125" s="1">
        <f t="shared" si="6"/>
        <v>1</v>
      </c>
      <c r="M125" s="1" t="str">
        <f t="shared" si="7"/>
        <v>Delayed</v>
      </c>
      <c r="N125" s="1" t="str">
        <f t="shared" si="8"/>
        <v>High</v>
      </c>
      <c r="O125" s="1">
        <f t="shared" si="9"/>
        <v>0</v>
      </c>
      <c r="P125" s="1" t="str">
        <f t="shared" si="10"/>
        <v>High Loan</v>
      </c>
      <c r="Q125" s="1">
        <f t="shared" si="11"/>
        <v>0</v>
      </c>
    </row>
    <row r="126" spans="1:17" x14ac:dyDescent="0.3">
      <c r="A126" s="1" t="s">
        <v>154</v>
      </c>
      <c r="B126" s="1">
        <v>2</v>
      </c>
      <c r="C126" s="1" t="s">
        <v>12</v>
      </c>
      <c r="D126" s="1">
        <v>93781</v>
      </c>
      <c r="E126" s="1">
        <v>4100</v>
      </c>
      <c r="F126" s="2">
        <v>45944</v>
      </c>
      <c r="G126" s="2">
        <v>45944</v>
      </c>
      <c r="H126" s="1">
        <v>0</v>
      </c>
      <c r="I126" s="1" t="s">
        <v>17</v>
      </c>
      <c r="J126" s="1" t="s">
        <v>22</v>
      </c>
      <c r="K126" s="1" t="s">
        <v>32</v>
      </c>
      <c r="L126" s="1">
        <f t="shared" si="6"/>
        <v>0</v>
      </c>
      <c r="M126" s="1" t="str">
        <f t="shared" si="7"/>
        <v>On Time</v>
      </c>
      <c r="N126" s="1" t="str">
        <f t="shared" si="8"/>
        <v>Low</v>
      </c>
      <c r="O126" s="1">
        <f t="shared" si="9"/>
        <v>0</v>
      </c>
      <c r="P126" s="1" t="str">
        <f t="shared" si="10"/>
        <v>Very High Loan</v>
      </c>
      <c r="Q126" s="1">
        <f t="shared" si="11"/>
        <v>1</v>
      </c>
    </row>
    <row r="127" spans="1:17" x14ac:dyDescent="0.3">
      <c r="A127" s="1" t="s">
        <v>155</v>
      </c>
      <c r="B127" s="1">
        <v>2</v>
      </c>
      <c r="C127" s="1" t="s">
        <v>20</v>
      </c>
      <c r="D127" s="1">
        <v>92750</v>
      </c>
      <c r="E127" s="1">
        <v>5500</v>
      </c>
      <c r="F127" s="2">
        <v>45955</v>
      </c>
      <c r="G127" s="2">
        <v>45955</v>
      </c>
      <c r="H127" s="1">
        <v>0</v>
      </c>
      <c r="I127" s="1" t="s">
        <v>21</v>
      </c>
      <c r="J127" s="1" t="s">
        <v>22</v>
      </c>
      <c r="K127" s="1" t="s">
        <v>18</v>
      </c>
      <c r="L127" s="1">
        <f t="shared" si="6"/>
        <v>0</v>
      </c>
      <c r="M127" s="1" t="str">
        <f t="shared" si="7"/>
        <v>On Time</v>
      </c>
      <c r="N127" s="1" t="str">
        <f t="shared" si="8"/>
        <v>Low</v>
      </c>
      <c r="O127" s="1">
        <f t="shared" si="9"/>
        <v>0</v>
      </c>
      <c r="P127" s="1" t="str">
        <f t="shared" si="10"/>
        <v>Very High Loan</v>
      </c>
      <c r="Q127" s="1">
        <f t="shared" si="11"/>
        <v>1</v>
      </c>
    </row>
    <row r="128" spans="1:17" x14ac:dyDescent="0.3">
      <c r="A128" s="1" t="s">
        <v>156</v>
      </c>
      <c r="B128" s="1">
        <v>3</v>
      </c>
      <c r="C128" s="1" t="s">
        <v>20</v>
      </c>
      <c r="D128" s="1">
        <v>86262</v>
      </c>
      <c r="E128" s="1">
        <v>5400</v>
      </c>
      <c r="F128" s="2">
        <v>45932</v>
      </c>
      <c r="G128" s="2">
        <v>45939</v>
      </c>
      <c r="H128" s="1">
        <v>7</v>
      </c>
      <c r="I128" s="1" t="s">
        <v>28</v>
      </c>
      <c r="J128" s="1" t="s">
        <v>22</v>
      </c>
      <c r="K128" s="1" t="s">
        <v>44</v>
      </c>
      <c r="L128" s="1">
        <f t="shared" si="6"/>
        <v>1</v>
      </c>
      <c r="M128" s="1" t="str">
        <f t="shared" si="7"/>
        <v>Delayed</v>
      </c>
      <c r="N128" s="1" t="str">
        <f t="shared" si="8"/>
        <v>Medium</v>
      </c>
      <c r="O128" s="1">
        <f t="shared" si="9"/>
        <v>0</v>
      </c>
      <c r="P128" s="1" t="str">
        <f t="shared" si="10"/>
        <v>Very High Loan</v>
      </c>
      <c r="Q128" s="1">
        <f t="shared" si="11"/>
        <v>0</v>
      </c>
    </row>
    <row r="129" spans="1:17" x14ac:dyDescent="0.3">
      <c r="A129" s="1" t="s">
        <v>157</v>
      </c>
      <c r="B129" s="1">
        <v>3</v>
      </c>
      <c r="C129" s="1" t="s">
        <v>12</v>
      </c>
      <c r="D129" s="1">
        <v>66600</v>
      </c>
      <c r="E129" s="1">
        <v>3700</v>
      </c>
      <c r="F129" s="2">
        <v>45951</v>
      </c>
      <c r="G129" s="2">
        <v>45954</v>
      </c>
      <c r="H129" s="1">
        <v>3</v>
      </c>
      <c r="I129" s="1" t="s">
        <v>28</v>
      </c>
      <c r="J129" s="1" t="s">
        <v>14</v>
      </c>
      <c r="K129" s="1" t="s">
        <v>23</v>
      </c>
      <c r="L129" s="1">
        <f t="shared" si="6"/>
        <v>1</v>
      </c>
      <c r="M129" s="1" t="str">
        <f t="shared" si="7"/>
        <v>Delayed</v>
      </c>
      <c r="N129" s="1" t="str">
        <f t="shared" si="8"/>
        <v>Medium</v>
      </c>
      <c r="O129" s="1">
        <f t="shared" si="9"/>
        <v>1</v>
      </c>
      <c r="P129" s="1" t="str">
        <f t="shared" si="10"/>
        <v>High Loan</v>
      </c>
      <c r="Q129" s="1">
        <f t="shared" si="11"/>
        <v>0</v>
      </c>
    </row>
    <row r="130" spans="1:17" x14ac:dyDescent="0.3">
      <c r="A130" s="1" t="s">
        <v>158</v>
      </c>
      <c r="B130" s="1">
        <v>1</v>
      </c>
      <c r="C130" s="1" t="s">
        <v>20</v>
      </c>
      <c r="D130" s="1">
        <v>96898</v>
      </c>
      <c r="E130" s="1">
        <v>6100</v>
      </c>
      <c r="F130" s="2">
        <v>45955</v>
      </c>
      <c r="G130" s="2">
        <v>45955</v>
      </c>
      <c r="H130" s="1">
        <v>0</v>
      </c>
      <c r="I130" s="1" t="s">
        <v>28</v>
      </c>
      <c r="J130" s="1" t="s">
        <v>22</v>
      </c>
      <c r="K130" s="1" t="s">
        <v>34</v>
      </c>
      <c r="L130" s="1">
        <f t="shared" si="6"/>
        <v>0</v>
      </c>
      <c r="M130" s="1" t="str">
        <f t="shared" si="7"/>
        <v>On Time</v>
      </c>
      <c r="N130" s="1" t="str">
        <f t="shared" si="8"/>
        <v>Low</v>
      </c>
      <c r="O130" s="1">
        <f t="shared" si="9"/>
        <v>0</v>
      </c>
      <c r="P130" s="1" t="str">
        <f t="shared" si="10"/>
        <v>Very High Loan</v>
      </c>
      <c r="Q130" s="1">
        <f t="shared" si="11"/>
        <v>1</v>
      </c>
    </row>
    <row r="131" spans="1:17" x14ac:dyDescent="0.3">
      <c r="A131" s="1" t="s">
        <v>159</v>
      </c>
      <c r="B131" s="1">
        <v>2</v>
      </c>
      <c r="C131" s="1" t="s">
        <v>20</v>
      </c>
      <c r="D131" s="1">
        <v>82483</v>
      </c>
      <c r="E131" s="1">
        <v>3900</v>
      </c>
      <c r="F131" s="2">
        <v>45950</v>
      </c>
      <c r="G131" s="2">
        <v>45980</v>
      </c>
      <c r="H131" s="1">
        <v>30</v>
      </c>
      <c r="I131" s="1" t="s">
        <v>28</v>
      </c>
      <c r="J131" s="1" t="s">
        <v>22</v>
      </c>
      <c r="K131" s="1" t="s">
        <v>18</v>
      </c>
      <c r="L131" s="1">
        <f t="shared" ref="L131:L194" si="12">IF(H131&gt;0,1,0)</f>
        <v>1</v>
      </c>
      <c r="M131" s="1" t="str">
        <f t="shared" ref="M131:M194" si="13">IF(H131=0,"On Time","Delayed")</f>
        <v>Delayed</v>
      </c>
      <c r="N131" s="1" t="str">
        <f t="shared" ref="N131:N194" si="14">_xlfn.IFS(H131=0,"Low",H131&lt;=14,"Medium",H131&gt;14,"High")</f>
        <v>High</v>
      </c>
      <c r="O131" s="1">
        <f t="shared" ref="O131:O194" si="15">IF(J131="Yes",1,0)</f>
        <v>0</v>
      </c>
      <c r="P131" s="1" t="str">
        <f t="shared" ref="P131:P194" si="16">_xlfn.IFS(
 D131&lt;=$V$16,"Low Loan",
 D131&lt;=$V$17,"Mid Loan",
 D131&lt;=$V$18,"High Loan",
 TRUE,"Very High Loan"
)</f>
        <v>Very High Loan</v>
      </c>
      <c r="Q131" s="1">
        <f t="shared" ref="Q131:Q194" si="17">IF(H131=0,1,0)</f>
        <v>0</v>
      </c>
    </row>
    <row r="132" spans="1:17" x14ac:dyDescent="0.3">
      <c r="A132" s="1" t="s">
        <v>160</v>
      </c>
      <c r="B132" s="1">
        <v>2</v>
      </c>
      <c r="C132" s="1" t="s">
        <v>12</v>
      </c>
      <c r="D132" s="1">
        <v>38297</v>
      </c>
      <c r="E132" s="1">
        <v>1900</v>
      </c>
      <c r="F132" s="2">
        <v>45941</v>
      </c>
      <c r="G132" s="2">
        <v>45971</v>
      </c>
      <c r="H132" s="1">
        <v>30</v>
      </c>
      <c r="I132" s="1" t="s">
        <v>28</v>
      </c>
      <c r="J132" s="1" t="s">
        <v>22</v>
      </c>
      <c r="K132" s="1" t="s">
        <v>70</v>
      </c>
      <c r="L132" s="1">
        <f t="shared" si="12"/>
        <v>1</v>
      </c>
      <c r="M132" s="1" t="str">
        <f t="shared" si="13"/>
        <v>Delayed</v>
      </c>
      <c r="N132" s="1" t="str">
        <f t="shared" si="14"/>
        <v>High</v>
      </c>
      <c r="O132" s="1">
        <f t="shared" si="15"/>
        <v>0</v>
      </c>
      <c r="P132" s="1" t="str">
        <f t="shared" si="16"/>
        <v>Low Loan</v>
      </c>
      <c r="Q132" s="1">
        <f t="shared" si="17"/>
        <v>0</v>
      </c>
    </row>
    <row r="133" spans="1:17" x14ac:dyDescent="0.3">
      <c r="A133" s="1" t="s">
        <v>161</v>
      </c>
      <c r="B133" s="1">
        <v>2</v>
      </c>
      <c r="C133" s="1" t="s">
        <v>12</v>
      </c>
      <c r="D133" s="1">
        <v>50448</v>
      </c>
      <c r="E133" s="1">
        <v>2500</v>
      </c>
      <c r="F133" s="2">
        <v>45946</v>
      </c>
      <c r="G133" s="2">
        <v>45946</v>
      </c>
      <c r="H133" s="1">
        <v>0</v>
      </c>
      <c r="I133" s="1" t="s">
        <v>28</v>
      </c>
      <c r="J133" s="1" t="s">
        <v>14</v>
      </c>
      <c r="K133" s="1" t="s">
        <v>34</v>
      </c>
      <c r="L133" s="1">
        <f t="shared" si="12"/>
        <v>0</v>
      </c>
      <c r="M133" s="1" t="str">
        <f t="shared" si="13"/>
        <v>On Time</v>
      </c>
      <c r="N133" s="1" t="str">
        <f t="shared" si="14"/>
        <v>Low</v>
      </c>
      <c r="O133" s="1">
        <f t="shared" si="15"/>
        <v>1</v>
      </c>
      <c r="P133" s="1" t="str">
        <f t="shared" si="16"/>
        <v>Mid Loan</v>
      </c>
      <c r="Q133" s="1">
        <f t="shared" si="17"/>
        <v>1</v>
      </c>
    </row>
    <row r="134" spans="1:17" x14ac:dyDescent="0.3">
      <c r="A134" s="1" t="s">
        <v>162</v>
      </c>
      <c r="B134" s="1">
        <v>1</v>
      </c>
      <c r="C134" s="1" t="s">
        <v>12</v>
      </c>
      <c r="D134" s="1">
        <v>46172</v>
      </c>
      <c r="E134" s="1">
        <v>5100</v>
      </c>
      <c r="F134" s="2">
        <v>45949</v>
      </c>
      <c r="G134" s="2">
        <v>45949</v>
      </c>
      <c r="H134" s="1">
        <v>0</v>
      </c>
      <c r="I134" s="1" t="s">
        <v>28</v>
      </c>
      <c r="J134" s="1" t="s">
        <v>22</v>
      </c>
      <c r="K134" s="1" t="s">
        <v>26</v>
      </c>
      <c r="L134" s="1">
        <f t="shared" si="12"/>
        <v>0</v>
      </c>
      <c r="M134" s="1" t="str">
        <f t="shared" si="13"/>
        <v>On Time</v>
      </c>
      <c r="N134" s="1" t="str">
        <f t="shared" si="14"/>
        <v>Low</v>
      </c>
      <c r="O134" s="1">
        <f t="shared" si="15"/>
        <v>0</v>
      </c>
      <c r="P134" s="1" t="str">
        <f t="shared" si="16"/>
        <v>Mid Loan</v>
      </c>
      <c r="Q134" s="1">
        <f t="shared" si="17"/>
        <v>1</v>
      </c>
    </row>
    <row r="135" spans="1:17" x14ac:dyDescent="0.3">
      <c r="A135" s="1" t="s">
        <v>163</v>
      </c>
      <c r="B135" s="1">
        <v>2</v>
      </c>
      <c r="C135" s="1" t="s">
        <v>12</v>
      </c>
      <c r="D135" s="1">
        <v>62874</v>
      </c>
      <c r="E135" s="1">
        <v>3900</v>
      </c>
      <c r="F135" s="2">
        <v>45953</v>
      </c>
      <c r="G135" s="2">
        <v>46013</v>
      </c>
      <c r="H135" s="1">
        <v>60</v>
      </c>
      <c r="I135" s="1" t="s">
        <v>17</v>
      </c>
      <c r="J135" s="1" t="s">
        <v>22</v>
      </c>
      <c r="K135" s="1" t="s">
        <v>70</v>
      </c>
      <c r="L135" s="1">
        <f t="shared" si="12"/>
        <v>1</v>
      </c>
      <c r="M135" s="1" t="str">
        <f t="shared" si="13"/>
        <v>Delayed</v>
      </c>
      <c r="N135" s="1" t="str">
        <f t="shared" si="14"/>
        <v>High</v>
      </c>
      <c r="O135" s="1">
        <f t="shared" si="15"/>
        <v>0</v>
      </c>
      <c r="P135" s="1" t="str">
        <f t="shared" si="16"/>
        <v>High Loan</v>
      </c>
      <c r="Q135" s="1">
        <f t="shared" si="17"/>
        <v>0</v>
      </c>
    </row>
    <row r="136" spans="1:17" x14ac:dyDescent="0.3">
      <c r="A136" s="1" t="s">
        <v>164</v>
      </c>
      <c r="B136" s="1">
        <v>3</v>
      </c>
      <c r="C136" s="1" t="s">
        <v>20</v>
      </c>
      <c r="D136" s="1">
        <v>27657</v>
      </c>
      <c r="E136" s="1">
        <v>1400</v>
      </c>
      <c r="F136" s="2">
        <v>45936</v>
      </c>
      <c r="G136" s="2">
        <v>45939</v>
      </c>
      <c r="H136" s="1">
        <v>3</v>
      </c>
      <c r="I136" s="1" t="s">
        <v>21</v>
      </c>
      <c r="J136" s="1" t="s">
        <v>22</v>
      </c>
      <c r="K136" s="1" t="s">
        <v>70</v>
      </c>
      <c r="L136" s="1">
        <f t="shared" si="12"/>
        <v>1</v>
      </c>
      <c r="M136" s="1" t="str">
        <f t="shared" si="13"/>
        <v>Delayed</v>
      </c>
      <c r="N136" s="1" t="str">
        <f t="shared" si="14"/>
        <v>Medium</v>
      </c>
      <c r="O136" s="1">
        <f t="shared" si="15"/>
        <v>0</v>
      </c>
      <c r="P136" s="1" t="str">
        <f t="shared" si="16"/>
        <v>Low Loan</v>
      </c>
      <c r="Q136" s="1">
        <f t="shared" si="17"/>
        <v>0</v>
      </c>
    </row>
    <row r="137" spans="1:17" x14ac:dyDescent="0.3">
      <c r="A137" s="1" t="s">
        <v>165</v>
      </c>
      <c r="B137" s="1">
        <v>2</v>
      </c>
      <c r="C137" s="1" t="s">
        <v>20</v>
      </c>
      <c r="D137" s="1">
        <v>45425</v>
      </c>
      <c r="E137" s="1">
        <v>5000</v>
      </c>
      <c r="F137" s="2">
        <v>45954</v>
      </c>
      <c r="G137" s="2">
        <v>45954</v>
      </c>
      <c r="H137" s="1">
        <v>0</v>
      </c>
      <c r="I137" s="1" t="s">
        <v>13</v>
      </c>
      <c r="J137" s="1" t="s">
        <v>22</v>
      </c>
      <c r="K137" s="1" t="s">
        <v>18</v>
      </c>
      <c r="L137" s="1">
        <f t="shared" si="12"/>
        <v>0</v>
      </c>
      <c r="M137" s="1" t="str">
        <f t="shared" si="13"/>
        <v>On Time</v>
      </c>
      <c r="N137" s="1" t="str">
        <f t="shared" si="14"/>
        <v>Low</v>
      </c>
      <c r="O137" s="1">
        <f t="shared" si="15"/>
        <v>0</v>
      </c>
      <c r="P137" s="1" t="str">
        <f t="shared" si="16"/>
        <v>Mid Loan</v>
      </c>
      <c r="Q137" s="1">
        <f t="shared" si="17"/>
        <v>1</v>
      </c>
    </row>
    <row r="138" spans="1:17" x14ac:dyDescent="0.3">
      <c r="A138" s="1" t="s">
        <v>166</v>
      </c>
      <c r="B138" s="1">
        <v>2</v>
      </c>
      <c r="C138" s="1" t="s">
        <v>12</v>
      </c>
      <c r="D138" s="1">
        <v>46685</v>
      </c>
      <c r="E138" s="1">
        <v>2600</v>
      </c>
      <c r="F138" s="2">
        <v>45949</v>
      </c>
      <c r="G138" s="2">
        <v>45964</v>
      </c>
      <c r="H138" s="1">
        <v>15</v>
      </c>
      <c r="I138" s="1" t="s">
        <v>21</v>
      </c>
      <c r="J138" s="1" t="s">
        <v>22</v>
      </c>
      <c r="K138" s="1" t="s">
        <v>32</v>
      </c>
      <c r="L138" s="1">
        <f t="shared" si="12"/>
        <v>1</v>
      </c>
      <c r="M138" s="1" t="str">
        <f t="shared" si="13"/>
        <v>Delayed</v>
      </c>
      <c r="N138" s="1" t="str">
        <f t="shared" si="14"/>
        <v>High</v>
      </c>
      <c r="O138" s="1">
        <f t="shared" si="15"/>
        <v>0</v>
      </c>
      <c r="P138" s="1" t="str">
        <f t="shared" si="16"/>
        <v>Mid Loan</v>
      </c>
      <c r="Q138" s="1">
        <f t="shared" si="17"/>
        <v>0</v>
      </c>
    </row>
    <row r="139" spans="1:17" x14ac:dyDescent="0.3">
      <c r="A139" s="1" t="s">
        <v>167</v>
      </c>
      <c r="B139" s="1">
        <v>3</v>
      </c>
      <c r="C139" s="1" t="s">
        <v>20</v>
      </c>
      <c r="D139" s="1">
        <v>44578</v>
      </c>
      <c r="E139" s="1">
        <v>6400</v>
      </c>
      <c r="F139" s="2">
        <v>45935</v>
      </c>
      <c r="G139" s="2">
        <v>45935</v>
      </c>
      <c r="H139" s="1">
        <v>0</v>
      </c>
      <c r="I139" s="1" t="s">
        <v>17</v>
      </c>
      <c r="J139" s="1" t="s">
        <v>14</v>
      </c>
      <c r="K139" s="1" t="s">
        <v>70</v>
      </c>
      <c r="L139" s="1">
        <f t="shared" si="12"/>
        <v>0</v>
      </c>
      <c r="M139" s="1" t="str">
        <f t="shared" si="13"/>
        <v>On Time</v>
      </c>
      <c r="N139" s="1" t="str">
        <f t="shared" si="14"/>
        <v>Low</v>
      </c>
      <c r="O139" s="1">
        <f t="shared" si="15"/>
        <v>1</v>
      </c>
      <c r="P139" s="1" t="str">
        <f t="shared" si="16"/>
        <v>Mid Loan</v>
      </c>
      <c r="Q139" s="1">
        <f t="shared" si="17"/>
        <v>1</v>
      </c>
    </row>
    <row r="140" spans="1:17" x14ac:dyDescent="0.3">
      <c r="A140" s="1" t="s">
        <v>168</v>
      </c>
      <c r="B140" s="1">
        <v>2</v>
      </c>
      <c r="C140" s="1" t="s">
        <v>20</v>
      </c>
      <c r="D140" s="1">
        <v>48831</v>
      </c>
      <c r="E140" s="1">
        <v>2600</v>
      </c>
      <c r="F140" s="2">
        <v>45956</v>
      </c>
      <c r="G140" s="2">
        <v>45956</v>
      </c>
      <c r="H140" s="1">
        <v>0</v>
      </c>
      <c r="I140" s="1" t="s">
        <v>13</v>
      </c>
      <c r="J140" s="1" t="s">
        <v>22</v>
      </c>
      <c r="K140" s="1" t="s">
        <v>15</v>
      </c>
      <c r="L140" s="1">
        <f t="shared" si="12"/>
        <v>0</v>
      </c>
      <c r="M140" s="1" t="str">
        <f t="shared" si="13"/>
        <v>On Time</v>
      </c>
      <c r="N140" s="1" t="str">
        <f t="shared" si="14"/>
        <v>Low</v>
      </c>
      <c r="O140" s="1">
        <f t="shared" si="15"/>
        <v>0</v>
      </c>
      <c r="P140" s="1" t="str">
        <f t="shared" si="16"/>
        <v>Mid Loan</v>
      </c>
      <c r="Q140" s="1">
        <f t="shared" si="17"/>
        <v>1</v>
      </c>
    </row>
    <row r="141" spans="1:17" x14ac:dyDescent="0.3">
      <c r="A141" s="1" t="s">
        <v>169</v>
      </c>
      <c r="B141" s="1">
        <v>3</v>
      </c>
      <c r="C141" s="1" t="s">
        <v>20</v>
      </c>
      <c r="D141" s="1">
        <v>27906</v>
      </c>
      <c r="E141" s="1">
        <v>3100</v>
      </c>
      <c r="F141" s="2">
        <v>45934</v>
      </c>
      <c r="G141" s="2">
        <v>45934</v>
      </c>
      <c r="H141" s="1">
        <v>0</v>
      </c>
      <c r="I141" s="1" t="s">
        <v>17</v>
      </c>
      <c r="J141" s="1" t="s">
        <v>22</v>
      </c>
      <c r="K141" s="1" t="s">
        <v>32</v>
      </c>
      <c r="L141" s="1">
        <f t="shared" si="12"/>
        <v>0</v>
      </c>
      <c r="M141" s="1" t="str">
        <f t="shared" si="13"/>
        <v>On Time</v>
      </c>
      <c r="N141" s="1" t="str">
        <f t="shared" si="14"/>
        <v>Low</v>
      </c>
      <c r="O141" s="1">
        <f t="shared" si="15"/>
        <v>0</v>
      </c>
      <c r="P141" s="1" t="str">
        <f t="shared" si="16"/>
        <v>Low Loan</v>
      </c>
      <c r="Q141" s="1">
        <f t="shared" si="17"/>
        <v>1</v>
      </c>
    </row>
    <row r="142" spans="1:17" x14ac:dyDescent="0.3">
      <c r="A142" s="1" t="s">
        <v>170</v>
      </c>
      <c r="B142" s="1">
        <v>3</v>
      </c>
      <c r="C142" s="1" t="s">
        <v>20</v>
      </c>
      <c r="D142" s="1">
        <v>81413</v>
      </c>
      <c r="E142" s="1">
        <v>3900</v>
      </c>
      <c r="F142" s="2">
        <v>45945</v>
      </c>
      <c r="G142" s="2">
        <v>45952</v>
      </c>
      <c r="H142" s="1">
        <v>7</v>
      </c>
      <c r="I142" s="1" t="s">
        <v>21</v>
      </c>
      <c r="J142" s="1" t="s">
        <v>22</v>
      </c>
      <c r="K142" s="1" t="s">
        <v>18</v>
      </c>
      <c r="L142" s="1">
        <f t="shared" si="12"/>
        <v>1</v>
      </c>
      <c r="M142" s="1" t="str">
        <f t="shared" si="13"/>
        <v>Delayed</v>
      </c>
      <c r="N142" s="1" t="str">
        <f t="shared" si="14"/>
        <v>Medium</v>
      </c>
      <c r="O142" s="1">
        <f t="shared" si="15"/>
        <v>0</v>
      </c>
      <c r="P142" s="1" t="str">
        <f t="shared" si="16"/>
        <v>Very High Loan</v>
      </c>
      <c r="Q142" s="1">
        <f t="shared" si="17"/>
        <v>0</v>
      </c>
    </row>
    <row r="143" spans="1:17" x14ac:dyDescent="0.3">
      <c r="A143" s="1" t="s">
        <v>171</v>
      </c>
      <c r="B143" s="1">
        <v>2</v>
      </c>
      <c r="C143" s="1" t="s">
        <v>20</v>
      </c>
      <c r="D143" s="1">
        <v>74028</v>
      </c>
      <c r="E143" s="1">
        <v>3900</v>
      </c>
      <c r="F143" s="2">
        <v>45959</v>
      </c>
      <c r="G143" s="2">
        <v>45962</v>
      </c>
      <c r="H143" s="1">
        <v>3</v>
      </c>
      <c r="I143" s="1" t="s">
        <v>17</v>
      </c>
      <c r="J143" s="1" t="s">
        <v>22</v>
      </c>
      <c r="K143" s="1" t="s">
        <v>70</v>
      </c>
      <c r="L143" s="1">
        <f t="shared" si="12"/>
        <v>1</v>
      </c>
      <c r="M143" s="1" t="str">
        <f t="shared" si="13"/>
        <v>Delayed</v>
      </c>
      <c r="N143" s="1" t="str">
        <f t="shared" si="14"/>
        <v>Medium</v>
      </c>
      <c r="O143" s="1">
        <f t="shared" si="15"/>
        <v>0</v>
      </c>
      <c r="P143" s="1" t="str">
        <f t="shared" si="16"/>
        <v>High Loan</v>
      </c>
      <c r="Q143" s="1">
        <f t="shared" si="17"/>
        <v>0</v>
      </c>
    </row>
    <row r="144" spans="1:17" x14ac:dyDescent="0.3">
      <c r="A144" s="1" t="s">
        <v>172</v>
      </c>
      <c r="B144" s="1">
        <v>2</v>
      </c>
      <c r="C144" s="1" t="s">
        <v>20</v>
      </c>
      <c r="D144" s="1">
        <v>27287</v>
      </c>
      <c r="E144" s="1">
        <v>1400</v>
      </c>
      <c r="F144" s="2">
        <v>45934</v>
      </c>
      <c r="G144" s="2">
        <v>45937</v>
      </c>
      <c r="H144" s="1">
        <v>3</v>
      </c>
      <c r="I144" s="1" t="s">
        <v>28</v>
      </c>
      <c r="J144" s="1" t="s">
        <v>22</v>
      </c>
      <c r="K144" s="1" t="s">
        <v>70</v>
      </c>
      <c r="L144" s="1">
        <f t="shared" si="12"/>
        <v>1</v>
      </c>
      <c r="M144" s="1" t="str">
        <f t="shared" si="13"/>
        <v>Delayed</v>
      </c>
      <c r="N144" s="1" t="str">
        <f t="shared" si="14"/>
        <v>Medium</v>
      </c>
      <c r="O144" s="1">
        <f t="shared" si="15"/>
        <v>0</v>
      </c>
      <c r="P144" s="1" t="str">
        <f t="shared" si="16"/>
        <v>Low Loan</v>
      </c>
      <c r="Q144" s="1">
        <f t="shared" si="17"/>
        <v>0</v>
      </c>
    </row>
    <row r="145" spans="1:17" x14ac:dyDescent="0.3">
      <c r="A145" s="1" t="s">
        <v>173</v>
      </c>
      <c r="B145" s="1">
        <v>2</v>
      </c>
      <c r="C145" s="1" t="s">
        <v>20</v>
      </c>
      <c r="D145" s="1">
        <v>53660</v>
      </c>
      <c r="E145" s="1">
        <v>6700</v>
      </c>
      <c r="F145" s="2">
        <v>45950</v>
      </c>
      <c r="G145" s="2">
        <v>45950</v>
      </c>
      <c r="H145" s="1">
        <v>0</v>
      </c>
      <c r="I145" s="1" t="s">
        <v>28</v>
      </c>
      <c r="J145" s="1" t="s">
        <v>22</v>
      </c>
      <c r="K145" s="1" t="s">
        <v>34</v>
      </c>
      <c r="L145" s="1">
        <f t="shared" si="12"/>
        <v>0</v>
      </c>
      <c r="M145" s="1" t="str">
        <f t="shared" si="13"/>
        <v>On Time</v>
      </c>
      <c r="N145" s="1" t="str">
        <f t="shared" si="14"/>
        <v>Low</v>
      </c>
      <c r="O145" s="1">
        <f t="shared" si="15"/>
        <v>0</v>
      </c>
      <c r="P145" s="1" t="str">
        <f t="shared" si="16"/>
        <v>Mid Loan</v>
      </c>
      <c r="Q145" s="1">
        <f t="shared" si="17"/>
        <v>1</v>
      </c>
    </row>
    <row r="146" spans="1:17" x14ac:dyDescent="0.3">
      <c r="A146" s="1" t="s">
        <v>174</v>
      </c>
      <c r="B146" s="1">
        <v>2</v>
      </c>
      <c r="C146" s="1" t="s">
        <v>20</v>
      </c>
      <c r="D146" s="1">
        <v>95758</v>
      </c>
      <c r="E146" s="1">
        <v>7400</v>
      </c>
      <c r="F146" s="2">
        <v>45940</v>
      </c>
      <c r="G146" s="2">
        <v>45940</v>
      </c>
      <c r="H146" s="1">
        <v>0</v>
      </c>
      <c r="I146" s="1" t="s">
        <v>21</v>
      </c>
      <c r="J146" s="1" t="s">
        <v>22</v>
      </c>
      <c r="K146" s="1" t="s">
        <v>44</v>
      </c>
      <c r="L146" s="1">
        <f t="shared" si="12"/>
        <v>0</v>
      </c>
      <c r="M146" s="1" t="str">
        <f t="shared" si="13"/>
        <v>On Time</v>
      </c>
      <c r="N146" s="1" t="str">
        <f t="shared" si="14"/>
        <v>Low</v>
      </c>
      <c r="O146" s="1">
        <f t="shared" si="15"/>
        <v>0</v>
      </c>
      <c r="P146" s="1" t="str">
        <f t="shared" si="16"/>
        <v>Very High Loan</v>
      </c>
      <c r="Q146" s="1">
        <f t="shared" si="17"/>
        <v>1</v>
      </c>
    </row>
    <row r="147" spans="1:17" x14ac:dyDescent="0.3">
      <c r="A147" s="1" t="s">
        <v>175</v>
      </c>
      <c r="B147" s="1">
        <v>1</v>
      </c>
      <c r="C147" s="1" t="s">
        <v>12</v>
      </c>
      <c r="D147" s="1">
        <v>80504</v>
      </c>
      <c r="E147" s="1">
        <v>3800</v>
      </c>
      <c r="F147" s="2">
        <v>45954</v>
      </c>
      <c r="G147" s="2">
        <v>45954</v>
      </c>
      <c r="H147" s="1">
        <v>0</v>
      </c>
      <c r="I147" s="1" t="s">
        <v>21</v>
      </c>
      <c r="J147" s="1" t="s">
        <v>22</v>
      </c>
      <c r="K147" s="1" t="s">
        <v>26</v>
      </c>
      <c r="L147" s="1">
        <f t="shared" si="12"/>
        <v>0</v>
      </c>
      <c r="M147" s="1" t="str">
        <f t="shared" si="13"/>
        <v>On Time</v>
      </c>
      <c r="N147" s="1" t="str">
        <f t="shared" si="14"/>
        <v>Low</v>
      </c>
      <c r="O147" s="1">
        <f t="shared" si="15"/>
        <v>0</v>
      </c>
      <c r="P147" s="1" t="str">
        <f t="shared" si="16"/>
        <v>Very High Loan</v>
      </c>
      <c r="Q147" s="1">
        <f t="shared" si="17"/>
        <v>1</v>
      </c>
    </row>
    <row r="148" spans="1:17" x14ac:dyDescent="0.3">
      <c r="A148" s="1" t="s">
        <v>176</v>
      </c>
      <c r="B148" s="1">
        <v>2</v>
      </c>
      <c r="C148" s="1" t="s">
        <v>12</v>
      </c>
      <c r="D148" s="1">
        <v>79720</v>
      </c>
      <c r="E148" s="1">
        <v>5300</v>
      </c>
      <c r="F148" s="2">
        <v>45952</v>
      </c>
      <c r="G148" s="2">
        <v>45959</v>
      </c>
      <c r="H148" s="1">
        <v>7</v>
      </c>
      <c r="I148" s="1" t="s">
        <v>28</v>
      </c>
      <c r="J148" s="1" t="s">
        <v>22</v>
      </c>
      <c r="K148" s="1" t="s">
        <v>32</v>
      </c>
      <c r="L148" s="1">
        <f t="shared" si="12"/>
        <v>1</v>
      </c>
      <c r="M148" s="1" t="str">
        <f t="shared" si="13"/>
        <v>Delayed</v>
      </c>
      <c r="N148" s="1" t="str">
        <f t="shared" si="14"/>
        <v>Medium</v>
      </c>
      <c r="O148" s="1">
        <f t="shared" si="15"/>
        <v>0</v>
      </c>
      <c r="P148" s="1" t="str">
        <f t="shared" si="16"/>
        <v>High Loan</v>
      </c>
      <c r="Q148" s="1">
        <f t="shared" si="17"/>
        <v>0</v>
      </c>
    </row>
    <row r="149" spans="1:17" x14ac:dyDescent="0.3">
      <c r="A149" s="1" t="s">
        <v>177</v>
      </c>
      <c r="B149" s="1">
        <v>2</v>
      </c>
      <c r="C149" s="1" t="s">
        <v>12</v>
      </c>
      <c r="D149" s="1">
        <v>54701</v>
      </c>
      <c r="E149" s="1">
        <v>6100</v>
      </c>
      <c r="F149" s="2">
        <v>45933</v>
      </c>
      <c r="G149" s="2">
        <v>45933</v>
      </c>
      <c r="H149" s="1">
        <v>0</v>
      </c>
      <c r="I149" s="1" t="s">
        <v>13</v>
      </c>
      <c r="J149" s="1" t="s">
        <v>14</v>
      </c>
      <c r="K149" s="1" t="s">
        <v>23</v>
      </c>
      <c r="L149" s="1">
        <f t="shared" si="12"/>
        <v>0</v>
      </c>
      <c r="M149" s="1" t="str">
        <f t="shared" si="13"/>
        <v>On Time</v>
      </c>
      <c r="N149" s="1" t="str">
        <f t="shared" si="14"/>
        <v>Low</v>
      </c>
      <c r="O149" s="1">
        <f t="shared" si="15"/>
        <v>1</v>
      </c>
      <c r="P149" s="1" t="str">
        <f t="shared" si="16"/>
        <v>Mid Loan</v>
      </c>
      <c r="Q149" s="1">
        <f t="shared" si="17"/>
        <v>1</v>
      </c>
    </row>
    <row r="150" spans="1:17" x14ac:dyDescent="0.3">
      <c r="A150" s="1" t="s">
        <v>178</v>
      </c>
      <c r="B150" s="1">
        <v>1</v>
      </c>
      <c r="C150" s="1" t="s">
        <v>12</v>
      </c>
      <c r="D150" s="1">
        <v>37674</v>
      </c>
      <c r="E150" s="1">
        <v>1600</v>
      </c>
      <c r="F150" s="2">
        <v>45956</v>
      </c>
      <c r="G150" s="2">
        <v>45956</v>
      </c>
      <c r="H150" s="1">
        <v>0</v>
      </c>
      <c r="I150" s="1" t="s">
        <v>17</v>
      </c>
      <c r="J150" s="1" t="s">
        <v>22</v>
      </c>
      <c r="K150" s="1" t="s">
        <v>32</v>
      </c>
      <c r="L150" s="1">
        <f t="shared" si="12"/>
        <v>0</v>
      </c>
      <c r="M150" s="1" t="str">
        <f t="shared" si="13"/>
        <v>On Time</v>
      </c>
      <c r="N150" s="1" t="str">
        <f t="shared" si="14"/>
        <v>Low</v>
      </c>
      <c r="O150" s="1">
        <f t="shared" si="15"/>
        <v>0</v>
      </c>
      <c r="P150" s="1" t="str">
        <f t="shared" si="16"/>
        <v>Low Loan</v>
      </c>
      <c r="Q150" s="1">
        <f t="shared" si="17"/>
        <v>1</v>
      </c>
    </row>
    <row r="151" spans="1:17" x14ac:dyDescent="0.3">
      <c r="A151" s="1" t="s">
        <v>179</v>
      </c>
      <c r="B151" s="1">
        <v>2</v>
      </c>
      <c r="C151" s="1" t="s">
        <v>20</v>
      </c>
      <c r="D151" s="1">
        <v>43874</v>
      </c>
      <c r="E151" s="1">
        <v>6300</v>
      </c>
      <c r="F151" s="2">
        <v>45935</v>
      </c>
      <c r="G151" s="2">
        <v>45950</v>
      </c>
      <c r="H151" s="1">
        <v>15</v>
      </c>
      <c r="I151" s="1" t="s">
        <v>21</v>
      </c>
      <c r="J151" s="1" t="s">
        <v>22</v>
      </c>
      <c r="K151" s="1" t="s">
        <v>34</v>
      </c>
      <c r="L151" s="1">
        <f t="shared" si="12"/>
        <v>1</v>
      </c>
      <c r="M151" s="1" t="str">
        <f t="shared" si="13"/>
        <v>Delayed</v>
      </c>
      <c r="N151" s="1" t="str">
        <f t="shared" si="14"/>
        <v>High</v>
      </c>
      <c r="O151" s="1">
        <f t="shared" si="15"/>
        <v>0</v>
      </c>
      <c r="P151" s="1" t="str">
        <f t="shared" si="16"/>
        <v>Mid Loan</v>
      </c>
      <c r="Q151" s="1">
        <f t="shared" si="17"/>
        <v>0</v>
      </c>
    </row>
    <row r="152" spans="1:17" x14ac:dyDescent="0.3">
      <c r="A152" s="1" t="s">
        <v>180</v>
      </c>
      <c r="B152" s="1">
        <v>3</v>
      </c>
      <c r="C152" s="1" t="s">
        <v>20</v>
      </c>
      <c r="D152" s="1">
        <v>63642</v>
      </c>
      <c r="E152" s="1">
        <v>2900</v>
      </c>
      <c r="F152" s="2">
        <v>45936</v>
      </c>
      <c r="G152" s="2">
        <v>45936</v>
      </c>
      <c r="H152" s="1">
        <v>0</v>
      </c>
      <c r="I152" s="1" t="s">
        <v>13</v>
      </c>
      <c r="J152" s="1" t="s">
        <v>22</v>
      </c>
      <c r="K152" s="1" t="s">
        <v>34</v>
      </c>
      <c r="L152" s="1">
        <f t="shared" si="12"/>
        <v>0</v>
      </c>
      <c r="M152" s="1" t="str">
        <f t="shared" si="13"/>
        <v>On Time</v>
      </c>
      <c r="N152" s="1" t="str">
        <f t="shared" si="14"/>
        <v>Low</v>
      </c>
      <c r="O152" s="1">
        <f t="shared" si="15"/>
        <v>0</v>
      </c>
      <c r="P152" s="1" t="str">
        <f t="shared" si="16"/>
        <v>High Loan</v>
      </c>
      <c r="Q152" s="1">
        <f t="shared" si="17"/>
        <v>1</v>
      </c>
    </row>
    <row r="153" spans="1:17" x14ac:dyDescent="0.3">
      <c r="A153" s="1" t="s">
        <v>181</v>
      </c>
      <c r="B153" s="1">
        <v>2</v>
      </c>
      <c r="C153" s="1" t="s">
        <v>12</v>
      </c>
      <c r="D153" s="1">
        <v>85160</v>
      </c>
      <c r="E153" s="1">
        <v>4700</v>
      </c>
      <c r="F153" s="2">
        <v>45951</v>
      </c>
      <c r="G153" s="2">
        <v>45996</v>
      </c>
      <c r="H153" s="1">
        <v>45</v>
      </c>
      <c r="I153" s="1" t="s">
        <v>21</v>
      </c>
      <c r="J153" s="1" t="s">
        <v>22</v>
      </c>
      <c r="K153" s="1" t="s">
        <v>15</v>
      </c>
      <c r="L153" s="1">
        <f t="shared" si="12"/>
        <v>1</v>
      </c>
      <c r="M153" s="1" t="str">
        <f t="shared" si="13"/>
        <v>Delayed</v>
      </c>
      <c r="N153" s="1" t="str">
        <f t="shared" si="14"/>
        <v>High</v>
      </c>
      <c r="O153" s="1">
        <f t="shared" si="15"/>
        <v>0</v>
      </c>
      <c r="P153" s="1" t="str">
        <f t="shared" si="16"/>
        <v>Very High Loan</v>
      </c>
      <c r="Q153" s="1">
        <f t="shared" si="17"/>
        <v>0</v>
      </c>
    </row>
    <row r="154" spans="1:17" x14ac:dyDescent="0.3">
      <c r="A154" s="1" t="s">
        <v>182</v>
      </c>
      <c r="B154" s="1">
        <v>1</v>
      </c>
      <c r="C154" s="1" t="s">
        <v>12</v>
      </c>
      <c r="D154" s="1">
        <v>37602</v>
      </c>
      <c r="E154" s="1">
        <v>4200</v>
      </c>
      <c r="F154" s="2">
        <v>45952</v>
      </c>
      <c r="G154" s="2">
        <v>45952</v>
      </c>
      <c r="H154" s="1">
        <v>0</v>
      </c>
      <c r="I154" s="1" t="s">
        <v>13</v>
      </c>
      <c r="J154" s="1" t="s">
        <v>22</v>
      </c>
      <c r="K154" s="1" t="s">
        <v>18</v>
      </c>
      <c r="L154" s="1">
        <f t="shared" si="12"/>
        <v>0</v>
      </c>
      <c r="M154" s="1" t="str">
        <f t="shared" si="13"/>
        <v>On Time</v>
      </c>
      <c r="N154" s="1" t="str">
        <f t="shared" si="14"/>
        <v>Low</v>
      </c>
      <c r="O154" s="1">
        <f t="shared" si="15"/>
        <v>0</v>
      </c>
      <c r="P154" s="1" t="str">
        <f t="shared" si="16"/>
        <v>Low Loan</v>
      </c>
      <c r="Q154" s="1">
        <f t="shared" si="17"/>
        <v>1</v>
      </c>
    </row>
    <row r="155" spans="1:17" x14ac:dyDescent="0.3">
      <c r="A155" s="1" t="s">
        <v>183</v>
      </c>
      <c r="B155" s="1">
        <v>2</v>
      </c>
      <c r="C155" s="1" t="s">
        <v>12</v>
      </c>
      <c r="D155" s="1">
        <v>45931</v>
      </c>
      <c r="E155" s="1">
        <v>2900</v>
      </c>
      <c r="F155" s="2">
        <v>45938</v>
      </c>
      <c r="G155" s="2">
        <v>45941</v>
      </c>
      <c r="H155" s="1">
        <v>3</v>
      </c>
      <c r="I155" s="1" t="s">
        <v>21</v>
      </c>
      <c r="J155" s="1" t="s">
        <v>22</v>
      </c>
      <c r="K155" s="1" t="s">
        <v>23</v>
      </c>
      <c r="L155" s="1">
        <f t="shared" si="12"/>
        <v>1</v>
      </c>
      <c r="M155" s="1" t="str">
        <f t="shared" si="13"/>
        <v>Delayed</v>
      </c>
      <c r="N155" s="1" t="str">
        <f t="shared" si="14"/>
        <v>Medium</v>
      </c>
      <c r="O155" s="1">
        <f t="shared" si="15"/>
        <v>0</v>
      </c>
      <c r="P155" s="1" t="str">
        <f t="shared" si="16"/>
        <v>Mid Loan</v>
      </c>
      <c r="Q155" s="1">
        <f t="shared" si="17"/>
        <v>0</v>
      </c>
    </row>
    <row r="156" spans="1:17" x14ac:dyDescent="0.3">
      <c r="A156" s="1" t="s">
        <v>184</v>
      </c>
      <c r="B156" s="1">
        <v>3</v>
      </c>
      <c r="C156" s="1" t="s">
        <v>20</v>
      </c>
      <c r="D156" s="1">
        <v>49192</v>
      </c>
      <c r="E156" s="1">
        <v>4100</v>
      </c>
      <c r="F156" s="2">
        <v>45937</v>
      </c>
      <c r="G156" s="2">
        <v>45937</v>
      </c>
      <c r="H156" s="1">
        <v>0</v>
      </c>
      <c r="I156" s="1" t="s">
        <v>28</v>
      </c>
      <c r="J156" s="1" t="s">
        <v>14</v>
      </c>
      <c r="K156" s="1" t="s">
        <v>23</v>
      </c>
      <c r="L156" s="1">
        <f t="shared" si="12"/>
        <v>0</v>
      </c>
      <c r="M156" s="1" t="str">
        <f t="shared" si="13"/>
        <v>On Time</v>
      </c>
      <c r="N156" s="1" t="str">
        <f t="shared" si="14"/>
        <v>Low</v>
      </c>
      <c r="O156" s="1">
        <f t="shared" si="15"/>
        <v>1</v>
      </c>
      <c r="P156" s="1" t="str">
        <f t="shared" si="16"/>
        <v>Mid Loan</v>
      </c>
      <c r="Q156" s="1">
        <f t="shared" si="17"/>
        <v>1</v>
      </c>
    </row>
    <row r="157" spans="1:17" x14ac:dyDescent="0.3">
      <c r="A157" s="1" t="s">
        <v>185</v>
      </c>
      <c r="B157" s="1">
        <v>2</v>
      </c>
      <c r="C157" s="1" t="s">
        <v>20</v>
      </c>
      <c r="D157" s="1">
        <v>66542</v>
      </c>
      <c r="E157" s="1">
        <v>3900</v>
      </c>
      <c r="F157" s="2">
        <v>45951</v>
      </c>
      <c r="G157" s="2">
        <v>45981</v>
      </c>
      <c r="H157" s="1">
        <v>30</v>
      </c>
      <c r="I157" s="1" t="s">
        <v>17</v>
      </c>
      <c r="J157" s="1" t="s">
        <v>22</v>
      </c>
      <c r="K157" s="1" t="s">
        <v>26</v>
      </c>
      <c r="L157" s="1">
        <f t="shared" si="12"/>
        <v>1</v>
      </c>
      <c r="M157" s="1" t="str">
        <f t="shared" si="13"/>
        <v>Delayed</v>
      </c>
      <c r="N157" s="1" t="str">
        <f t="shared" si="14"/>
        <v>High</v>
      </c>
      <c r="O157" s="1">
        <f t="shared" si="15"/>
        <v>0</v>
      </c>
      <c r="P157" s="1" t="str">
        <f t="shared" si="16"/>
        <v>High Loan</v>
      </c>
      <c r="Q157" s="1">
        <f t="shared" si="17"/>
        <v>0</v>
      </c>
    </row>
    <row r="158" spans="1:17" x14ac:dyDescent="0.3">
      <c r="A158" s="1" t="s">
        <v>186</v>
      </c>
      <c r="B158" s="1">
        <v>2</v>
      </c>
      <c r="C158" s="1" t="s">
        <v>20</v>
      </c>
      <c r="D158" s="1">
        <v>62520</v>
      </c>
      <c r="E158" s="1">
        <v>4200</v>
      </c>
      <c r="F158" s="2">
        <v>45940</v>
      </c>
      <c r="G158" s="2">
        <v>45940</v>
      </c>
      <c r="H158" s="1">
        <v>0</v>
      </c>
      <c r="I158" s="1" t="s">
        <v>17</v>
      </c>
      <c r="J158" s="1" t="s">
        <v>22</v>
      </c>
      <c r="K158" s="1" t="s">
        <v>18</v>
      </c>
      <c r="L158" s="1">
        <f t="shared" si="12"/>
        <v>0</v>
      </c>
      <c r="M158" s="1" t="str">
        <f t="shared" si="13"/>
        <v>On Time</v>
      </c>
      <c r="N158" s="1" t="str">
        <f t="shared" si="14"/>
        <v>Low</v>
      </c>
      <c r="O158" s="1">
        <f t="shared" si="15"/>
        <v>0</v>
      </c>
      <c r="P158" s="1" t="str">
        <f t="shared" si="16"/>
        <v>High Loan</v>
      </c>
      <c r="Q158" s="1">
        <f t="shared" si="17"/>
        <v>1</v>
      </c>
    </row>
    <row r="159" spans="1:17" x14ac:dyDescent="0.3">
      <c r="A159" s="1" t="s">
        <v>187</v>
      </c>
      <c r="B159" s="1">
        <v>3</v>
      </c>
      <c r="C159" s="1" t="s">
        <v>20</v>
      </c>
      <c r="D159" s="1">
        <v>84772</v>
      </c>
      <c r="E159" s="1">
        <v>7100</v>
      </c>
      <c r="F159" s="2">
        <v>45936</v>
      </c>
      <c r="G159" s="2">
        <v>45936</v>
      </c>
      <c r="H159" s="1">
        <v>0</v>
      </c>
      <c r="I159" s="1" t="s">
        <v>17</v>
      </c>
      <c r="J159" s="1" t="s">
        <v>22</v>
      </c>
      <c r="K159" s="1" t="s">
        <v>54</v>
      </c>
      <c r="L159" s="1">
        <f t="shared" si="12"/>
        <v>0</v>
      </c>
      <c r="M159" s="1" t="str">
        <f t="shared" si="13"/>
        <v>On Time</v>
      </c>
      <c r="N159" s="1" t="str">
        <f t="shared" si="14"/>
        <v>Low</v>
      </c>
      <c r="O159" s="1">
        <f t="shared" si="15"/>
        <v>0</v>
      </c>
      <c r="P159" s="1" t="str">
        <f t="shared" si="16"/>
        <v>Very High Loan</v>
      </c>
      <c r="Q159" s="1">
        <f t="shared" si="17"/>
        <v>1</v>
      </c>
    </row>
    <row r="160" spans="1:17" x14ac:dyDescent="0.3">
      <c r="A160" s="1" t="s">
        <v>188</v>
      </c>
      <c r="B160" s="1">
        <v>2</v>
      </c>
      <c r="C160" s="1" t="s">
        <v>12</v>
      </c>
      <c r="D160" s="1">
        <v>78762</v>
      </c>
      <c r="E160" s="1">
        <v>4400</v>
      </c>
      <c r="F160" s="2">
        <v>45944</v>
      </c>
      <c r="G160" s="2">
        <v>45944</v>
      </c>
      <c r="H160" s="1">
        <v>0</v>
      </c>
      <c r="I160" s="1" t="s">
        <v>13</v>
      </c>
      <c r="J160" s="1" t="s">
        <v>22</v>
      </c>
      <c r="K160" s="1" t="s">
        <v>34</v>
      </c>
      <c r="L160" s="1">
        <f t="shared" si="12"/>
        <v>0</v>
      </c>
      <c r="M160" s="1" t="str">
        <f t="shared" si="13"/>
        <v>On Time</v>
      </c>
      <c r="N160" s="1" t="str">
        <f t="shared" si="14"/>
        <v>Low</v>
      </c>
      <c r="O160" s="1">
        <f t="shared" si="15"/>
        <v>0</v>
      </c>
      <c r="P160" s="1" t="str">
        <f t="shared" si="16"/>
        <v>High Loan</v>
      </c>
      <c r="Q160" s="1">
        <f t="shared" si="17"/>
        <v>1</v>
      </c>
    </row>
    <row r="161" spans="1:17" x14ac:dyDescent="0.3">
      <c r="A161" s="1" t="s">
        <v>189</v>
      </c>
      <c r="B161" s="1">
        <v>3</v>
      </c>
      <c r="C161" s="1" t="s">
        <v>12</v>
      </c>
      <c r="D161" s="1">
        <v>70106</v>
      </c>
      <c r="E161" s="1">
        <v>5800</v>
      </c>
      <c r="F161" s="2">
        <v>45934</v>
      </c>
      <c r="G161" s="2">
        <v>45934</v>
      </c>
      <c r="H161" s="1">
        <v>0</v>
      </c>
      <c r="I161" s="1" t="s">
        <v>17</v>
      </c>
      <c r="J161" s="1" t="s">
        <v>14</v>
      </c>
      <c r="K161" s="1" t="s">
        <v>23</v>
      </c>
      <c r="L161" s="1">
        <f t="shared" si="12"/>
        <v>0</v>
      </c>
      <c r="M161" s="1" t="str">
        <f t="shared" si="13"/>
        <v>On Time</v>
      </c>
      <c r="N161" s="1" t="str">
        <f t="shared" si="14"/>
        <v>Low</v>
      </c>
      <c r="O161" s="1">
        <f t="shared" si="15"/>
        <v>1</v>
      </c>
      <c r="P161" s="1" t="str">
        <f t="shared" si="16"/>
        <v>High Loan</v>
      </c>
      <c r="Q161" s="1">
        <f t="shared" si="17"/>
        <v>1</v>
      </c>
    </row>
    <row r="162" spans="1:17" x14ac:dyDescent="0.3">
      <c r="A162" s="1" t="s">
        <v>190</v>
      </c>
      <c r="B162" s="1">
        <v>2</v>
      </c>
      <c r="C162" s="1" t="s">
        <v>20</v>
      </c>
      <c r="D162" s="1">
        <v>45559</v>
      </c>
      <c r="E162" s="1">
        <v>2100</v>
      </c>
      <c r="F162" s="2">
        <v>45958</v>
      </c>
      <c r="G162" s="2">
        <v>45958</v>
      </c>
      <c r="H162" s="1">
        <v>0</v>
      </c>
      <c r="I162" s="1" t="s">
        <v>17</v>
      </c>
      <c r="J162" s="1" t="s">
        <v>14</v>
      </c>
      <c r="K162" s="1" t="s">
        <v>44</v>
      </c>
      <c r="L162" s="1">
        <f t="shared" si="12"/>
        <v>0</v>
      </c>
      <c r="M162" s="1" t="str">
        <f t="shared" si="13"/>
        <v>On Time</v>
      </c>
      <c r="N162" s="1" t="str">
        <f t="shared" si="14"/>
        <v>Low</v>
      </c>
      <c r="O162" s="1">
        <f t="shared" si="15"/>
        <v>1</v>
      </c>
      <c r="P162" s="1" t="str">
        <f t="shared" si="16"/>
        <v>Mid Loan</v>
      </c>
      <c r="Q162" s="1">
        <f t="shared" si="17"/>
        <v>1</v>
      </c>
    </row>
    <row r="163" spans="1:17" x14ac:dyDescent="0.3">
      <c r="A163" s="1" t="s">
        <v>191</v>
      </c>
      <c r="B163" s="1">
        <v>2</v>
      </c>
      <c r="C163" s="1" t="s">
        <v>30</v>
      </c>
      <c r="D163" s="1">
        <v>53742</v>
      </c>
      <c r="E163" s="1">
        <v>3600</v>
      </c>
      <c r="F163" s="2">
        <v>45955</v>
      </c>
      <c r="G163" s="2">
        <v>46000</v>
      </c>
      <c r="H163" s="1">
        <v>45</v>
      </c>
      <c r="I163" s="1" t="s">
        <v>13</v>
      </c>
      <c r="J163" s="1" t="s">
        <v>22</v>
      </c>
      <c r="K163" s="1" t="s">
        <v>23</v>
      </c>
      <c r="L163" s="1">
        <f t="shared" si="12"/>
        <v>1</v>
      </c>
      <c r="M163" s="1" t="str">
        <f t="shared" si="13"/>
        <v>Delayed</v>
      </c>
      <c r="N163" s="1" t="str">
        <f t="shared" si="14"/>
        <v>High</v>
      </c>
      <c r="O163" s="1">
        <f t="shared" si="15"/>
        <v>0</v>
      </c>
      <c r="P163" s="1" t="str">
        <f t="shared" si="16"/>
        <v>Mid Loan</v>
      </c>
      <c r="Q163" s="1">
        <f t="shared" si="17"/>
        <v>0</v>
      </c>
    </row>
    <row r="164" spans="1:17" x14ac:dyDescent="0.3">
      <c r="A164" s="1" t="s">
        <v>192</v>
      </c>
      <c r="B164" s="1">
        <v>2</v>
      </c>
      <c r="C164" s="1" t="s">
        <v>12</v>
      </c>
      <c r="D164" s="1">
        <v>89669</v>
      </c>
      <c r="E164" s="1">
        <v>6000</v>
      </c>
      <c r="F164" s="2">
        <v>45943</v>
      </c>
      <c r="G164" s="2">
        <v>45943</v>
      </c>
      <c r="H164" s="1">
        <v>0</v>
      </c>
      <c r="I164" s="1" t="s">
        <v>17</v>
      </c>
      <c r="J164" s="1" t="s">
        <v>22</v>
      </c>
      <c r="K164" s="1" t="s">
        <v>56</v>
      </c>
      <c r="L164" s="1">
        <f t="shared" si="12"/>
        <v>0</v>
      </c>
      <c r="M164" s="1" t="str">
        <f t="shared" si="13"/>
        <v>On Time</v>
      </c>
      <c r="N164" s="1" t="str">
        <f t="shared" si="14"/>
        <v>Low</v>
      </c>
      <c r="O164" s="1">
        <f t="shared" si="15"/>
        <v>0</v>
      </c>
      <c r="P164" s="1" t="str">
        <f t="shared" si="16"/>
        <v>Very High Loan</v>
      </c>
      <c r="Q164" s="1">
        <f t="shared" si="17"/>
        <v>1</v>
      </c>
    </row>
    <row r="165" spans="1:17" x14ac:dyDescent="0.3">
      <c r="A165" s="1" t="s">
        <v>193</v>
      </c>
      <c r="B165" s="1">
        <v>2</v>
      </c>
      <c r="C165" s="1" t="s">
        <v>20</v>
      </c>
      <c r="D165" s="1">
        <v>41754</v>
      </c>
      <c r="E165" s="1">
        <v>4600</v>
      </c>
      <c r="F165" s="2">
        <v>45950</v>
      </c>
      <c r="G165" s="2">
        <v>45957</v>
      </c>
      <c r="H165" s="1">
        <v>7</v>
      </c>
      <c r="I165" s="1" t="s">
        <v>21</v>
      </c>
      <c r="J165" s="1" t="s">
        <v>22</v>
      </c>
      <c r="K165" s="1" t="s">
        <v>56</v>
      </c>
      <c r="L165" s="1">
        <f t="shared" si="12"/>
        <v>1</v>
      </c>
      <c r="M165" s="1" t="str">
        <f t="shared" si="13"/>
        <v>Delayed</v>
      </c>
      <c r="N165" s="1" t="str">
        <f t="shared" si="14"/>
        <v>Medium</v>
      </c>
      <c r="O165" s="1">
        <f t="shared" si="15"/>
        <v>0</v>
      </c>
      <c r="P165" s="1" t="str">
        <f t="shared" si="16"/>
        <v>Low Loan</v>
      </c>
      <c r="Q165" s="1">
        <f t="shared" si="17"/>
        <v>0</v>
      </c>
    </row>
    <row r="166" spans="1:17" x14ac:dyDescent="0.3">
      <c r="A166" s="1" t="s">
        <v>194</v>
      </c>
      <c r="B166" s="1">
        <v>1</v>
      </c>
      <c r="C166" s="1" t="s">
        <v>20</v>
      </c>
      <c r="D166" s="1">
        <v>23972</v>
      </c>
      <c r="E166" s="1">
        <v>2700</v>
      </c>
      <c r="F166" s="2">
        <v>45947</v>
      </c>
      <c r="G166" s="2">
        <v>45950</v>
      </c>
      <c r="H166" s="1">
        <v>3</v>
      </c>
      <c r="I166" s="1" t="s">
        <v>13</v>
      </c>
      <c r="J166" s="1" t="s">
        <v>22</v>
      </c>
      <c r="K166" s="1" t="s">
        <v>26</v>
      </c>
      <c r="L166" s="1">
        <f t="shared" si="12"/>
        <v>1</v>
      </c>
      <c r="M166" s="1" t="str">
        <f t="shared" si="13"/>
        <v>Delayed</v>
      </c>
      <c r="N166" s="1" t="str">
        <f t="shared" si="14"/>
        <v>Medium</v>
      </c>
      <c r="O166" s="1">
        <f t="shared" si="15"/>
        <v>0</v>
      </c>
      <c r="P166" s="1" t="str">
        <f t="shared" si="16"/>
        <v>Low Loan</v>
      </c>
      <c r="Q166" s="1">
        <f t="shared" si="17"/>
        <v>0</v>
      </c>
    </row>
    <row r="167" spans="1:17" x14ac:dyDescent="0.3">
      <c r="A167" s="1" t="s">
        <v>195</v>
      </c>
      <c r="B167" s="1">
        <v>3</v>
      </c>
      <c r="C167" s="1" t="s">
        <v>20</v>
      </c>
      <c r="D167" s="1">
        <v>90831</v>
      </c>
      <c r="E167" s="1">
        <v>7600</v>
      </c>
      <c r="F167" s="2">
        <v>45953</v>
      </c>
      <c r="G167" s="2">
        <v>45956</v>
      </c>
      <c r="H167" s="1">
        <v>3</v>
      </c>
      <c r="I167" s="1" t="s">
        <v>28</v>
      </c>
      <c r="J167" s="1" t="s">
        <v>22</v>
      </c>
      <c r="K167" s="1" t="s">
        <v>23</v>
      </c>
      <c r="L167" s="1">
        <f t="shared" si="12"/>
        <v>1</v>
      </c>
      <c r="M167" s="1" t="str">
        <f t="shared" si="13"/>
        <v>Delayed</v>
      </c>
      <c r="N167" s="1" t="str">
        <f t="shared" si="14"/>
        <v>Medium</v>
      </c>
      <c r="O167" s="1">
        <f t="shared" si="15"/>
        <v>0</v>
      </c>
      <c r="P167" s="1" t="str">
        <f t="shared" si="16"/>
        <v>Very High Loan</v>
      </c>
      <c r="Q167" s="1">
        <f t="shared" si="17"/>
        <v>0</v>
      </c>
    </row>
    <row r="168" spans="1:17" x14ac:dyDescent="0.3">
      <c r="A168" s="1" t="s">
        <v>196</v>
      </c>
      <c r="B168" s="1">
        <v>2</v>
      </c>
      <c r="C168" s="1" t="s">
        <v>20</v>
      </c>
      <c r="D168" s="1">
        <v>61873</v>
      </c>
      <c r="E168" s="1">
        <v>10300</v>
      </c>
      <c r="F168" s="2">
        <v>45937</v>
      </c>
      <c r="G168" s="2">
        <v>45937</v>
      </c>
      <c r="H168" s="1">
        <v>0</v>
      </c>
      <c r="I168" s="1" t="s">
        <v>17</v>
      </c>
      <c r="J168" s="1" t="s">
        <v>22</v>
      </c>
      <c r="K168" s="1" t="s">
        <v>23</v>
      </c>
      <c r="L168" s="1">
        <f t="shared" si="12"/>
        <v>0</v>
      </c>
      <c r="M168" s="1" t="str">
        <f t="shared" si="13"/>
        <v>On Time</v>
      </c>
      <c r="N168" s="1" t="str">
        <f t="shared" si="14"/>
        <v>Low</v>
      </c>
      <c r="O168" s="1">
        <f t="shared" si="15"/>
        <v>0</v>
      </c>
      <c r="P168" s="1" t="str">
        <f t="shared" si="16"/>
        <v>High Loan</v>
      </c>
      <c r="Q168" s="1">
        <f t="shared" si="17"/>
        <v>1</v>
      </c>
    </row>
    <row r="169" spans="1:17" x14ac:dyDescent="0.3">
      <c r="A169" s="1" t="s">
        <v>197</v>
      </c>
      <c r="B169" s="1">
        <v>1</v>
      </c>
      <c r="C169" s="1" t="s">
        <v>20</v>
      </c>
      <c r="D169" s="1">
        <v>29903</v>
      </c>
      <c r="E169" s="1">
        <v>1800</v>
      </c>
      <c r="F169" s="2">
        <v>45934</v>
      </c>
      <c r="G169" s="2">
        <v>45934</v>
      </c>
      <c r="H169" s="1">
        <v>0</v>
      </c>
      <c r="I169" s="1" t="s">
        <v>13</v>
      </c>
      <c r="J169" s="1" t="s">
        <v>22</v>
      </c>
      <c r="K169" s="1" t="s">
        <v>26</v>
      </c>
      <c r="L169" s="1">
        <f t="shared" si="12"/>
        <v>0</v>
      </c>
      <c r="M169" s="1" t="str">
        <f t="shared" si="13"/>
        <v>On Time</v>
      </c>
      <c r="N169" s="1" t="str">
        <f t="shared" si="14"/>
        <v>Low</v>
      </c>
      <c r="O169" s="1">
        <f t="shared" si="15"/>
        <v>0</v>
      </c>
      <c r="P169" s="1" t="str">
        <f t="shared" si="16"/>
        <v>Low Loan</v>
      </c>
      <c r="Q169" s="1">
        <f t="shared" si="17"/>
        <v>1</v>
      </c>
    </row>
    <row r="170" spans="1:17" x14ac:dyDescent="0.3">
      <c r="A170" s="1" t="s">
        <v>198</v>
      </c>
      <c r="B170" s="1">
        <v>1</v>
      </c>
      <c r="C170" s="1" t="s">
        <v>20</v>
      </c>
      <c r="D170" s="1">
        <v>23020</v>
      </c>
      <c r="E170" s="1">
        <v>1300</v>
      </c>
      <c r="F170" s="2">
        <v>45959</v>
      </c>
      <c r="G170" s="2">
        <v>45966</v>
      </c>
      <c r="H170" s="1">
        <v>7</v>
      </c>
      <c r="I170" s="1" t="s">
        <v>17</v>
      </c>
      <c r="J170" s="1" t="s">
        <v>22</v>
      </c>
      <c r="K170" s="1" t="s">
        <v>44</v>
      </c>
      <c r="L170" s="1">
        <f t="shared" si="12"/>
        <v>1</v>
      </c>
      <c r="M170" s="1" t="str">
        <f t="shared" si="13"/>
        <v>Delayed</v>
      </c>
      <c r="N170" s="1" t="str">
        <f t="shared" si="14"/>
        <v>Medium</v>
      </c>
      <c r="O170" s="1">
        <f t="shared" si="15"/>
        <v>0</v>
      </c>
      <c r="P170" s="1" t="str">
        <f t="shared" si="16"/>
        <v>Low Loan</v>
      </c>
      <c r="Q170" s="1">
        <f t="shared" si="17"/>
        <v>0</v>
      </c>
    </row>
    <row r="171" spans="1:17" x14ac:dyDescent="0.3">
      <c r="A171" s="1" t="s">
        <v>199</v>
      </c>
      <c r="B171" s="1">
        <v>2</v>
      </c>
      <c r="C171" s="1" t="s">
        <v>20</v>
      </c>
      <c r="D171" s="1">
        <v>61755</v>
      </c>
      <c r="E171" s="1">
        <v>4100</v>
      </c>
      <c r="F171" s="2">
        <v>45944</v>
      </c>
      <c r="G171" s="2">
        <v>45989</v>
      </c>
      <c r="H171" s="1">
        <v>45</v>
      </c>
      <c r="I171" s="1" t="s">
        <v>17</v>
      </c>
      <c r="J171" s="1" t="s">
        <v>22</v>
      </c>
      <c r="K171" s="1" t="s">
        <v>44</v>
      </c>
      <c r="L171" s="1">
        <f t="shared" si="12"/>
        <v>1</v>
      </c>
      <c r="M171" s="1" t="str">
        <f t="shared" si="13"/>
        <v>Delayed</v>
      </c>
      <c r="N171" s="1" t="str">
        <f t="shared" si="14"/>
        <v>High</v>
      </c>
      <c r="O171" s="1">
        <f t="shared" si="15"/>
        <v>0</v>
      </c>
      <c r="P171" s="1" t="str">
        <f t="shared" si="16"/>
        <v>High Loan</v>
      </c>
      <c r="Q171" s="1">
        <f t="shared" si="17"/>
        <v>0</v>
      </c>
    </row>
    <row r="172" spans="1:17" x14ac:dyDescent="0.3">
      <c r="A172" s="1" t="s">
        <v>200</v>
      </c>
      <c r="B172" s="1">
        <v>2</v>
      </c>
      <c r="C172" s="1" t="s">
        <v>20</v>
      </c>
      <c r="D172" s="1">
        <v>65648</v>
      </c>
      <c r="E172" s="1">
        <v>3300</v>
      </c>
      <c r="F172" s="2">
        <v>45933</v>
      </c>
      <c r="G172" s="2">
        <v>45933</v>
      </c>
      <c r="H172" s="1">
        <v>0</v>
      </c>
      <c r="I172" s="1" t="s">
        <v>17</v>
      </c>
      <c r="J172" s="1" t="s">
        <v>22</v>
      </c>
      <c r="K172" s="1" t="s">
        <v>34</v>
      </c>
      <c r="L172" s="1">
        <f t="shared" si="12"/>
        <v>0</v>
      </c>
      <c r="M172" s="1" t="str">
        <f t="shared" si="13"/>
        <v>On Time</v>
      </c>
      <c r="N172" s="1" t="str">
        <f t="shared" si="14"/>
        <v>Low</v>
      </c>
      <c r="O172" s="1">
        <f t="shared" si="15"/>
        <v>0</v>
      </c>
      <c r="P172" s="1" t="str">
        <f t="shared" si="16"/>
        <v>High Loan</v>
      </c>
      <c r="Q172" s="1">
        <f t="shared" si="17"/>
        <v>1</v>
      </c>
    </row>
    <row r="173" spans="1:17" x14ac:dyDescent="0.3">
      <c r="A173" s="1" t="s">
        <v>201</v>
      </c>
      <c r="B173" s="1">
        <v>1</v>
      </c>
      <c r="C173" s="1" t="s">
        <v>12</v>
      </c>
      <c r="D173" s="1">
        <v>29516</v>
      </c>
      <c r="E173" s="1">
        <v>1600</v>
      </c>
      <c r="F173" s="2">
        <v>45954</v>
      </c>
      <c r="G173" s="2">
        <v>45954</v>
      </c>
      <c r="H173" s="1">
        <v>0</v>
      </c>
      <c r="I173" s="1" t="s">
        <v>21</v>
      </c>
      <c r="J173" s="1" t="s">
        <v>14</v>
      </c>
      <c r="K173" s="1" t="s">
        <v>54</v>
      </c>
      <c r="L173" s="1">
        <f t="shared" si="12"/>
        <v>0</v>
      </c>
      <c r="M173" s="1" t="str">
        <f t="shared" si="13"/>
        <v>On Time</v>
      </c>
      <c r="N173" s="1" t="str">
        <f t="shared" si="14"/>
        <v>Low</v>
      </c>
      <c r="O173" s="1">
        <f t="shared" si="15"/>
        <v>1</v>
      </c>
      <c r="P173" s="1" t="str">
        <f t="shared" si="16"/>
        <v>Low Loan</v>
      </c>
      <c r="Q173" s="1">
        <f t="shared" si="17"/>
        <v>1</v>
      </c>
    </row>
    <row r="174" spans="1:17" x14ac:dyDescent="0.3">
      <c r="A174" s="1" t="s">
        <v>202</v>
      </c>
      <c r="B174" s="1">
        <v>2</v>
      </c>
      <c r="C174" s="1" t="s">
        <v>20</v>
      </c>
      <c r="D174" s="1">
        <v>22396</v>
      </c>
      <c r="E174" s="1">
        <v>1600</v>
      </c>
      <c r="F174" s="2">
        <v>45935</v>
      </c>
      <c r="G174" s="2">
        <v>45935</v>
      </c>
      <c r="H174" s="1">
        <v>0</v>
      </c>
      <c r="I174" s="1" t="s">
        <v>13</v>
      </c>
      <c r="J174" s="1" t="s">
        <v>22</v>
      </c>
      <c r="K174" s="1" t="s">
        <v>44</v>
      </c>
      <c r="L174" s="1">
        <f t="shared" si="12"/>
        <v>0</v>
      </c>
      <c r="M174" s="1" t="str">
        <f t="shared" si="13"/>
        <v>On Time</v>
      </c>
      <c r="N174" s="1" t="str">
        <f t="shared" si="14"/>
        <v>Low</v>
      </c>
      <c r="O174" s="1">
        <f t="shared" si="15"/>
        <v>0</v>
      </c>
      <c r="P174" s="1" t="str">
        <f t="shared" si="16"/>
        <v>Low Loan</v>
      </c>
      <c r="Q174" s="1">
        <f t="shared" si="17"/>
        <v>1</v>
      </c>
    </row>
    <row r="175" spans="1:17" x14ac:dyDescent="0.3">
      <c r="A175" s="1" t="s">
        <v>203</v>
      </c>
      <c r="B175" s="1">
        <v>2</v>
      </c>
      <c r="C175" s="1" t="s">
        <v>12</v>
      </c>
      <c r="D175" s="1">
        <v>39129</v>
      </c>
      <c r="E175" s="1">
        <v>2800</v>
      </c>
      <c r="F175" s="2">
        <v>45946</v>
      </c>
      <c r="G175" s="2">
        <v>46006</v>
      </c>
      <c r="H175" s="1">
        <v>60</v>
      </c>
      <c r="I175" s="1" t="s">
        <v>28</v>
      </c>
      <c r="J175" s="1" t="s">
        <v>22</v>
      </c>
      <c r="K175" s="1" t="s">
        <v>26</v>
      </c>
      <c r="L175" s="1">
        <f t="shared" si="12"/>
        <v>1</v>
      </c>
      <c r="M175" s="1" t="str">
        <f t="shared" si="13"/>
        <v>Delayed</v>
      </c>
      <c r="N175" s="1" t="str">
        <f t="shared" si="14"/>
        <v>High</v>
      </c>
      <c r="O175" s="1">
        <f t="shared" si="15"/>
        <v>0</v>
      </c>
      <c r="P175" s="1" t="str">
        <f t="shared" si="16"/>
        <v>Low Loan</v>
      </c>
      <c r="Q175" s="1">
        <f t="shared" si="17"/>
        <v>0</v>
      </c>
    </row>
    <row r="176" spans="1:17" x14ac:dyDescent="0.3">
      <c r="A176" s="1" t="s">
        <v>204</v>
      </c>
      <c r="B176" s="1">
        <v>2</v>
      </c>
      <c r="C176" s="1" t="s">
        <v>20</v>
      </c>
      <c r="D176" s="1">
        <v>21591</v>
      </c>
      <c r="E176" s="1">
        <v>1100</v>
      </c>
      <c r="F176" s="2">
        <v>45956</v>
      </c>
      <c r="G176" s="2">
        <v>45956</v>
      </c>
      <c r="H176" s="1">
        <v>0</v>
      </c>
      <c r="I176" s="1" t="s">
        <v>28</v>
      </c>
      <c r="J176" s="1" t="s">
        <v>22</v>
      </c>
      <c r="K176" s="1" t="s">
        <v>15</v>
      </c>
      <c r="L176" s="1">
        <f t="shared" si="12"/>
        <v>0</v>
      </c>
      <c r="M176" s="1" t="str">
        <f t="shared" si="13"/>
        <v>On Time</v>
      </c>
      <c r="N176" s="1" t="str">
        <f t="shared" si="14"/>
        <v>Low</v>
      </c>
      <c r="O176" s="1">
        <f t="shared" si="15"/>
        <v>0</v>
      </c>
      <c r="P176" s="1" t="str">
        <f t="shared" si="16"/>
        <v>Low Loan</v>
      </c>
      <c r="Q176" s="1">
        <f t="shared" si="17"/>
        <v>1</v>
      </c>
    </row>
    <row r="177" spans="1:17" x14ac:dyDescent="0.3">
      <c r="A177" s="1" t="s">
        <v>205</v>
      </c>
      <c r="B177" s="1">
        <v>1</v>
      </c>
      <c r="C177" s="1" t="s">
        <v>30</v>
      </c>
      <c r="D177" s="1">
        <v>31303</v>
      </c>
      <c r="E177" s="1">
        <v>2100</v>
      </c>
      <c r="F177" s="2">
        <v>45953</v>
      </c>
      <c r="G177" s="2">
        <v>45953</v>
      </c>
      <c r="H177" s="1">
        <v>0</v>
      </c>
      <c r="I177" s="1" t="s">
        <v>28</v>
      </c>
      <c r="J177" s="1" t="s">
        <v>22</v>
      </c>
      <c r="K177" s="1" t="s">
        <v>15</v>
      </c>
      <c r="L177" s="1">
        <f t="shared" si="12"/>
        <v>0</v>
      </c>
      <c r="M177" s="1" t="str">
        <f t="shared" si="13"/>
        <v>On Time</v>
      </c>
      <c r="N177" s="1" t="str">
        <f t="shared" si="14"/>
        <v>Low</v>
      </c>
      <c r="O177" s="1">
        <f t="shared" si="15"/>
        <v>0</v>
      </c>
      <c r="P177" s="1" t="str">
        <f t="shared" si="16"/>
        <v>Low Loan</v>
      </c>
      <c r="Q177" s="1">
        <f t="shared" si="17"/>
        <v>1</v>
      </c>
    </row>
    <row r="178" spans="1:17" x14ac:dyDescent="0.3">
      <c r="A178" s="1" t="s">
        <v>206</v>
      </c>
      <c r="B178" s="1">
        <v>2</v>
      </c>
      <c r="C178" s="1" t="s">
        <v>20</v>
      </c>
      <c r="D178" s="1">
        <v>50561</v>
      </c>
      <c r="E178" s="1">
        <v>3400</v>
      </c>
      <c r="F178" s="2">
        <v>45950</v>
      </c>
      <c r="G178" s="2">
        <v>45980</v>
      </c>
      <c r="H178" s="1">
        <v>30</v>
      </c>
      <c r="I178" s="1" t="s">
        <v>21</v>
      </c>
      <c r="J178" s="1" t="s">
        <v>22</v>
      </c>
      <c r="K178" s="1" t="s">
        <v>56</v>
      </c>
      <c r="L178" s="1">
        <f t="shared" si="12"/>
        <v>1</v>
      </c>
      <c r="M178" s="1" t="str">
        <f t="shared" si="13"/>
        <v>Delayed</v>
      </c>
      <c r="N178" s="1" t="str">
        <f t="shared" si="14"/>
        <v>High</v>
      </c>
      <c r="O178" s="1">
        <f t="shared" si="15"/>
        <v>0</v>
      </c>
      <c r="P178" s="1" t="str">
        <f t="shared" si="16"/>
        <v>Mid Loan</v>
      </c>
      <c r="Q178" s="1">
        <f t="shared" si="17"/>
        <v>0</v>
      </c>
    </row>
    <row r="179" spans="1:17" x14ac:dyDescent="0.3">
      <c r="A179" s="1" t="s">
        <v>207</v>
      </c>
      <c r="B179" s="1">
        <v>2</v>
      </c>
      <c r="C179" s="1" t="s">
        <v>20</v>
      </c>
      <c r="D179" s="1">
        <v>91719</v>
      </c>
      <c r="E179" s="1">
        <v>7100</v>
      </c>
      <c r="F179" s="2">
        <v>45934</v>
      </c>
      <c r="G179" s="2">
        <v>45934</v>
      </c>
      <c r="H179" s="1">
        <v>0</v>
      </c>
      <c r="I179" s="1" t="s">
        <v>21</v>
      </c>
      <c r="J179" s="1" t="s">
        <v>22</v>
      </c>
      <c r="K179" s="1" t="s">
        <v>44</v>
      </c>
      <c r="L179" s="1">
        <f t="shared" si="12"/>
        <v>0</v>
      </c>
      <c r="M179" s="1" t="str">
        <f t="shared" si="13"/>
        <v>On Time</v>
      </c>
      <c r="N179" s="1" t="str">
        <f t="shared" si="14"/>
        <v>Low</v>
      </c>
      <c r="O179" s="1">
        <f t="shared" si="15"/>
        <v>0</v>
      </c>
      <c r="P179" s="1" t="str">
        <f t="shared" si="16"/>
        <v>Very High Loan</v>
      </c>
      <c r="Q179" s="1">
        <f t="shared" si="17"/>
        <v>1</v>
      </c>
    </row>
    <row r="180" spans="1:17" x14ac:dyDescent="0.3">
      <c r="A180" s="1" t="s">
        <v>208</v>
      </c>
      <c r="B180" s="1">
        <v>3</v>
      </c>
      <c r="C180" s="1" t="s">
        <v>30</v>
      </c>
      <c r="D180" s="1">
        <v>27314</v>
      </c>
      <c r="E180" s="1">
        <v>1300</v>
      </c>
      <c r="F180" s="2">
        <v>45954</v>
      </c>
      <c r="G180" s="2">
        <v>45954</v>
      </c>
      <c r="H180" s="1">
        <v>0</v>
      </c>
      <c r="I180" s="1" t="s">
        <v>17</v>
      </c>
      <c r="J180" s="1" t="s">
        <v>14</v>
      </c>
      <c r="K180" s="1" t="s">
        <v>26</v>
      </c>
      <c r="L180" s="1">
        <f t="shared" si="12"/>
        <v>0</v>
      </c>
      <c r="M180" s="1" t="str">
        <f t="shared" si="13"/>
        <v>On Time</v>
      </c>
      <c r="N180" s="1" t="str">
        <f t="shared" si="14"/>
        <v>Low</v>
      </c>
      <c r="O180" s="1">
        <f t="shared" si="15"/>
        <v>1</v>
      </c>
      <c r="P180" s="1" t="str">
        <f t="shared" si="16"/>
        <v>Low Loan</v>
      </c>
      <c r="Q180" s="1">
        <f t="shared" si="17"/>
        <v>1</v>
      </c>
    </row>
    <row r="181" spans="1:17" x14ac:dyDescent="0.3">
      <c r="A181" s="1" t="s">
        <v>209</v>
      </c>
      <c r="B181" s="1">
        <v>1</v>
      </c>
      <c r="C181" s="1" t="s">
        <v>12</v>
      </c>
      <c r="D181" s="1">
        <v>39623</v>
      </c>
      <c r="E181" s="1">
        <v>1800</v>
      </c>
      <c r="F181" s="2">
        <v>45960</v>
      </c>
      <c r="G181" s="2">
        <v>45963</v>
      </c>
      <c r="H181" s="1">
        <v>3</v>
      </c>
      <c r="I181" s="1" t="s">
        <v>21</v>
      </c>
      <c r="J181" s="1" t="s">
        <v>22</v>
      </c>
      <c r="K181" s="1" t="s">
        <v>44</v>
      </c>
      <c r="L181" s="1">
        <f t="shared" si="12"/>
        <v>1</v>
      </c>
      <c r="M181" s="1" t="str">
        <f t="shared" si="13"/>
        <v>Delayed</v>
      </c>
      <c r="N181" s="1" t="str">
        <f t="shared" si="14"/>
        <v>Medium</v>
      </c>
      <c r="O181" s="1">
        <f t="shared" si="15"/>
        <v>0</v>
      </c>
      <c r="P181" s="1" t="str">
        <f t="shared" si="16"/>
        <v>Low Loan</v>
      </c>
      <c r="Q181" s="1">
        <f t="shared" si="17"/>
        <v>0</v>
      </c>
    </row>
    <row r="182" spans="1:17" x14ac:dyDescent="0.3">
      <c r="A182" s="1" t="s">
        <v>210</v>
      </c>
      <c r="B182" s="1">
        <v>2</v>
      </c>
      <c r="C182" s="1" t="s">
        <v>12</v>
      </c>
      <c r="D182" s="1">
        <v>87675</v>
      </c>
      <c r="E182" s="1">
        <v>8800</v>
      </c>
      <c r="F182" s="2">
        <v>45954</v>
      </c>
      <c r="G182" s="2">
        <v>45984</v>
      </c>
      <c r="H182" s="1">
        <v>30</v>
      </c>
      <c r="I182" s="1" t="s">
        <v>21</v>
      </c>
      <c r="J182" s="1" t="s">
        <v>22</v>
      </c>
      <c r="K182" s="1" t="s">
        <v>56</v>
      </c>
      <c r="L182" s="1">
        <f t="shared" si="12"/>
        <v>1</v>
      </c>
      <c r="M182" s="1" t="str">
        <f t="shared" si="13"/>
        <v>Delayed</v>
      </c>
      <c r="N182" s="1" t="str">
        <f t="shared" si="14"/>
        <v>High</v>
      </c>
      <c r="O182" s="1">
        <f t="shared" si="15"/>
        <v>0</v>
      </c>
      <c r="P182" s="1" t="str">
        <f t="shared" si="16"/>
        <v>Very High Loan</v>
      </c>
      <c r="Q182" s="1">
        <f t="shared" si="17"/>
        <v>0</v>
      </c>
    </row>
    <row r="183" spans="1:17" x14ac:dyDescent="0.3">
      <c r="A183" s="1" t="s">
        <v>211</v>
      </c>
      <c r="B183" s="1">
        <v>1</v>
      </c>
      <c r="C183" s="1" t="s">
        <v>20</v>
      </c>
      <c r="D183" s="1">
        <v>85082</v>
      </c>
      <c r="E183" s="1">
        <v>9500</v>
      </c>
      <c r="F183" s="2">
        <v>45932</v>
      </c>
      <c r="G183" s="2">
        <v>45932</v>
      </c>
      <c r="H183" s="1">
        <v>0</v>
      </c>
      <c r="I183" s="1" t="s">
        <v>28</v>
      </c>
      <c r="J183" s="1" t="s">
        <v>22</v>
      </c>
      <c r="K183" s="1" t="s">
        <v>70</v>
      </c>
      <c r="L183" s="1">
        <f t="shared" si="12"/>
        <v>0</v>
      </c>
      <c r="M183" s="1" t="str">
        <f t="shared" si="13"/>
        <v>On Time</v>
      </c>
      <c r="N183" s="1" t="str">
        <f t="shared" si="14"/>
        <v>Low</v>
      </c>
      <c r="O183" s="1">
        <f t="shared" si="15"/>
        <v>0</v>
      </c>
      <c r="P183" s="1" t="str">
        <f t="shared" si="16"/>
        <v>Very High Loan</v>
      </c>
      <c r="Q183" s="1">
        <f t="shared" si="17"/>
        <v>1</v>
      </c>
    </row>
    <row r="184" spans="1:17" x14ac:dyDescent="0.3">
      <c r="A184" s="1" t="s">
        <v>212</v>
      </c>
      <c r="B184" s="1">
        <v>3</v>
      </c>
      <c r="C184" s="1" t="s">
        <v>20</v>
      </c>
      <c r="D184" s="1">
        <v>53130</v>
      </c>
      <c r="E184" s="1">
        <v>2300</v>
      </c>
      <c r="F184" s="2">
        <v>45960</v>
      </c>
      <c r="G184" s="2">
        <v>45960</v>
      </c>
      <c r="H184" s="1">
        <v>0</v>
      </c>
      <c r="I184" s="1" t="s">
        <v>21</v>
      </c>
      <c r="J184" s="1" t="s">
        <v>22</v>
      </c>
      <c r="K184" s="1" t="s">
        <v>32</v>
      </c>
      <c r="L184" s="1">
        <f t="shared" si="12"/>
        <v>0</v>
      </c>
      <c r="M184" s="1" t="str">
        <f t="shared" si="13"/>
        <v>On Time</v>
      </c>
      <c r="N184" s="1" t="str">
        <f t="shared" si="14"/>
        <v>Low</v>
      </c>
      <c r="O184" s="1">
        <f t="shared" si="15"/>
        <v>0</v>
      </c>
      <c r="P184" s="1" t="str">
        <f t="shared" si="16"/>
        <v>Mid Loan</v>
      </c>
      <c r="Q184" s="1">
        <f t="shared" si="17"/>
        <v>1</v>
      </c>
    </row>
    <row r="185" spans="1:17" x14ac:dyDescent="0.3">
      <c r="A185" s="1" t="s">
        <v>213</v>
      </c>
      <c r="B185" s="1">
        <v>3</v>
      </c>
      <c r="C185" s="1" t="s">
        <v>12</v>
      </c>
      <c r="D185" s="1">
        <v>71756</v>
      </c>
      <c r="E185" s="1">
        <v>8000</v>
      </c>
      <c r="F185" s="2">
        <v>45948</v>
      </c>
      <c r="G185" s="2">
        <v>45948</v>
      </c>
      <c r="H185" s="1">
        <v>0</v>
      </c>
      <c r="I185" s="1" t="s">
        <v>17</v>
      </c>
      <c r="J185" s="1" t="s">
        <v>14</v>
      </c>
      <c r="K185" s="1" t="s">
        <v>34</v>
      </c>
      <c r="L185" s="1">
        <f t="shared" si="12"/>
        <v>0</v>
      </c>
      <c r="M185" s="1" t="str">
        <f t="shared" si="13"/>
        <v>On Time</v>
      </c>
      <c r="N185" s="1" t="str">
        <f t="shared" si="14"/>
        <v>Low</v>
      </c>
      <c r="O185" s="1">
        <f t="shared" si="15"/>
        <v>1</v>
      </c>
      <c r="P185" s="1" t="str">
        <f t="shared" si="16"/>
        <v>High Loan</v>
      </c>
      <c r="Q185" s="1">
        <f t="shared" si="17"/>
        <v>1</v>
      </c>
    </row>
    <row r="186" spans="1:17" x14ac:dyDescent="0.3">
      <c r="A186" s="1" t="s">
        <v>214</v>
      </c>
      <c r="B186" s="1">
        <v>2</v>
      </c>
      <c r="C186" s="1" t="s">
        <v>30</v>
      </c>
      <c r="D186" s="1">
        <v>46292</v>
      </c>
      <c r="E186" s="1">
        <v>3900</v>
      </c>
      <c r="F186" s="2">
        <v>45949</v>
      </c>
      <c r="G186" s="2">
        <v>45949</v>
      </c>
      <c r="H186" s="1">
        <v>0</v>
      </c>
      <c r="I186" s="1" t="s">
        <v>28</v>
      </c>
      <c r="J186" s="1" t="s">
        <v>22</v>
      </c>
      <c r="K186" s="1" t="s">
        <v>34</v>
      </c>
      <c r="L186" s="1">
        <f t="shared" si="12"/>
        <v>0</v>
      </c>
      <c r="M186" s="1" t="str">
        <f t="shared" si="13"/>
        <v>On Time</v>
      </c>
      <c r="N186" s="1" t="str">
        <f t="shared" si="14"/>
        <v>Low</v>
      </c>
      <c r="O186" s="1">
        <f t="shared" si="15"/>
        <v>0</v>
      </c>
      <c r="P186" s="1" t="str">
        <f t="shared" si="16"/>
        <v>Mid Loan</v>
      </c>
      <c r="Q186" s="1">
        <f t="shared" si="17"/>
        <v>1</v>
      </c>
    </row>
    <row r="187" spans="1:17" x14ac:dyDescent="0.3">
      <c r="A187" s="1" t="s">
        <v>215</v>
      </c>
      <c r="B187" s="1">
        <v>2</v>
      </c>
      <c r="C187" s="1" t="s">
        <v>12</v>
      </c>
      <c r="D187" s="1">
        <v>89274</v>
      </c>
      <c r="E187" s="1">
        <v>6000</v>
      </c>
      <c r="F187" s="2">
        <v>45958</v>
      </c>
      <c r="G187" s="2">
        <v>45961</v>
      </c>
      <c r="H187" s="1">
        <v>3</v>
      </c>
      <c r="I187" s="1" t="s">
        <v>28</v>
      </c>
      <c r="J187" s="1" t="s">
        <v>22</v>
      </c>
      <c r="K187" s="1" t="s">
        <v>56</v>
      </c>
      <c r="L187" s="1">
        <f t="shared" si="12"/>
        <v>1</v>
      </c>
      <c r="M187" s="1" t="str">
        <f t="shared" si="13"/>
        <v>Delayed</v>
      </c>
      <c r="N187" s="1" t="str">
        <f t="shared" si="14"/>
        <v>Medium</v>
      </c>
      <c r="O187" s="1">
        <f t="shared" si="15"/>
        <v>0</v>
      </c>
      <c r="P187" s="1" t="str">
        <f t="shared" si="16"/>
        <v>Very High Loan</v>
      </c>
      <c r="Q187" s="1">
        <f t="shared" si="17"/>
        <v>0</v>
      </c>
    </row>
    <row r="188" spans="1:17" x14ac:dyDescent="0.3">
      <c r="A188" s="1" t="s">
        <v>216</v>
      </c>
      <c r="B188" s="1">
        <v>3</v>
      </c>
      <c r="C188" s="1" t="s">
        <v>12</v>
      </c>
      <c r="D188" s="1">
        <v>22469</v>
      </c>
      <c r="E188" s="1">
        <v>1000</v>
      </c>
      <c r="F188" s="2">
        <v>45958</v>
      </c>
      <c r="G188" s="2">
        <v>45958</v>
      </c>
      <c r="H188" s="1">
        <v>0</v>
      </c>
      <c r="I188" s="1" t="s">
        <v>28</v>
      </c>
      <c r="J188" s="1" t="s">
        <v>22</v>
      </c>
      <c r="K188" s="1" t="s">
        <v>34</v>
      </c>
      <c r="L188" s="1">
        <f t="shared" si="12"/>
        <v>0</v>
      </c>
      <c r="M188" s="1" t="str">
        <f t="shared" si="13"/>
        <v>On Time</v>
      </c>
      <c r="N188" s="1" t="str">
        <f t="shared" si="14"/>
        <v>Low</v>
      </c>
      <c r="O188" s="1">
        <f t="shared" si="15"/>
        <v>0</v>
      </c>
      <c r="P188" s="1" t="str">
        <f t="shared" si="16"/>
        <v>Low Loan</v>
      </c>
      <c r="Q188" s="1">
        <f t="shared" si="17"/>
        <v>1</v>
      </c>
    </row>
    <row r="189" spans="1:17" x14ac:dyDescent="0.3">
      <c r="A189" s="1" t="s">
        <v>217</v>
      </c>
      <c r="B189" s="1">
        <v>2</v>
      </c>
      <c r="C189" s="1" t="s">
        <v>20</v>
      </c>
      <c r="D189" s="1">
        <v>73947</v>
      </c>
      <c r="E189" s="1">
        <v>8200</v>
      </c>
      <c r="F189" s="2">
        <v>45949</v>
      </c>
      <c r="G189" s="2">
        <v>45949</v>
      </c>
      <c r="H189" s="1">
        <v>0</v>
      </c>
      <c r="I189" s="1" t="s">
        <v>28</v>
      </c>
      <c r="J189" s="1" t="s">
        <v>22</v>
      </c>
      <c r="K189" s="1" t="s">
        <v>26</v>
      </c>
      <c r="L189" s="1">
        <f t="shared" si="12"/>
        <v>0</v>
      </c>
      <c r="M189" s="1" t="str">
        <f t="shared" si="13"/>
        <v>On Time</v>
      </c>
      <c r="N189" s="1" t="str">
        <f t="shared" si="14"/>
        <v>Low</v>
      </c>
      <c r="O189" s="1">
        <f t="shared" si="15"/>
        <v>0</v>
      </c>
      <c r="P189" s="1" t="str">
        <f t="shared" si="16"/>
        <v>High Loan</v>
      </c>
      <c r="Q189" s="1">
        <f t="shared" si="17"/>
        <v>1</v>
      </c>
    </row>
    <row r="190" spans="1:17" x14ac:dyDescent="0.3">
      <c r="A190" s="1" t="s">
        <v>218</v>
      </c>
      <c r="B190" s="1">
        <v>2</v>
      </c>
      <c r="C190" s="1" t="s">
        <v>12</v>
      </c>
      <c r="D190" s="1">
        <v>42534</v>
      </c>
      <c r="E190" s="1">
        <v>2800</v>
      </c>
      <c r="F190" s="2">
        <v>45947</v>
      </c>
      <c r="G190" s="2">
        <v>45947</v>
      </c>
      <c r="H190" s="1">
        <v>0</v>
      </c>
      <c r="I190" s="1" t="s">
        <v>21</v>
      </c>
      <c r="J190" s="1" t="s">
        <v>22</v>
      </c>
      <c r="K190" s="1" t="s">
        <v>70</v>
      </c>
      <c r="L190" s="1">
        <f t="shared" si="12"/>
        <v>0</v>
      </c>
      <c r="M190" s="1" t="str">
        <f t="shared" si="13"/>
        <v>On Time</v>
      </c>
      <c r="N190" s="1" t="str">
        <f t="shared" si="14"/>
        <v>Low</v>
      </c>
      <c r="O190" s="1">
        <f t="shared" si="15"/>
        <v>0</v>
      </c>
      <c r="P190" s="1" t="str">
        <f t="shared" si="16"/>
        <v>Low Loan</v>
      </c>
      <c r="Q190" s="1">
        <f t="shared" si="17"/>
        <v>1</v>
      </c>
    </row>
    <row r="191" spans="1:17" x14ac:dyDescent="0.3">
      <c r="A191" s="1" t="s">
        <v>219</v>
      </c>
      <c r="B191" s="1">
        <v>2</v>
      </c>
      <c r="C191" s="1" t="s">
        <v>20</v>
      </c>
      <c r="D191" s="1">
        <v>83620</v>
      </c>
      <c r="E191" s="1">
        <v>13900</v>
      </c>
      <c r="F191" s="2">
        <v>45944</v>
      </c>
      <c r="G191" s="2">
        <v>45947</v>
      </c>
      <c r="H191" s="1">
        <v>3</v>
      </c>
      <c r="I191" s="1" t="s">
        <v>28</v>
      </c>
      <c r="J191" s="1" t="s">
        <v>14</v>
      </c>
      <c r="K191" s="1" t="s">
        <v>70</v>
      </c>
      <c r="L191" s="1">
        <f t="shared" si="12"/>
        <v>1</v>
      </c>
      <c r="M191" s="1" t="str">
        <f t="shared" si="13"/>
        <v>Delayed</v>
      </c>
      <c r="N191" s="1" t="str">
        <f t="shared" si="14"/>
        <v>Medium</v>
      </c>
      <c r="O191" s="1">
        <f t="shared" si="15"/>
        <v>1</v>
      </c>
      <c r="P191" s="1" t="str">
        <f t="shared" si="16"/>
        <v>Very High Loan</v>
      </c>
      <c r="Q191" s="1">
        <f t="shared" si="17"/>
        <v>0</v>
      </c>
    </row>
    <row r="192" spans="1:17" x14ac:dyDescent="0.3">
      <c r="A192" s="1" t="s">
        <v>220</v>
      </c>
      <c r="B192" s="1">
        <v>1</v>
      </c>
      <c r="C192" s="1" t="s">
        <v>20</v>
      </c>
      <c r="D192" s="1">
        <v>68874</v>
      </c>
      <c r="E192" s="1">
        <v>3000</v>
      </c>
      <c r="F192" s="2">
        <v>45949</v>
      </c>
      <c r="G192" s="2">
        <v>45949</v>
      </c>
      <c r="H192" s="1">
        <v>0</v>
      </c>
      <c r="I192" s="1" t="s">
        <v>17</v>
      </c>
      <c r="J192" s="1" t="s">
        <v>22</v>
      </c>
      <c r="K192" s="1" t="s">
        <v>18</v>
      </c>
      <c r="L192" s="1">
        <f t="shared" si="12"/>
        <v>0</v>
      </c>
      <c r="M192" s="1" t="str">
        <f t="shared" si="13"/>
        <v>On Time</v>
      </c>
      <c r="N192" s="1" t="str">
        <f t="shared" si="14"/>
        <v>Low</v>
      </c>
      <c r="O192" s="1">
        <f t="shared" si="15"/>
        <v>0</v>
      </c>
      <c r="P192" s="1" t="str">
        <f t="shared" si="16"/>
        <v>High Loan</v>
      </c>
      <c r="Q192" s="1">
        <f t="shared" si="17"/>
        <v>1</v>
      </c>
    </row>
    <row r="193" spans="1:17" x14ac:dyDescent="0.3">
      <c r="A193" s="1" t="s">
        <v>221</v>
      </c>
      <c r="B193" s="1">
        <v>3</v>
      </c>
      <c r="C193" s="1" t="s">
        <v>20</v>
      </c>
      <c r="D193" s="1">
        <v>69708</v>
      </c>
      <c r="E193" s="1">
        <v>7000</v>
      </c>
      <c r="F193" s="2">
        <v>45952</v>
      </c>
      <c r="G193" s="2">
        <v>45967</v>
      </c>
      <c r="H193" s="1">
        <v>15</v>
      </c>
      <c r="I193" s="1" t="s">
        <v>17</v>
      </c>
      <c r="J193" s="1" t="s">
        <v>22</v>
      </c>
      <c r="K193" s="1" t="s">
        <v>15</v>
      </c>
      <c r="L193" s="1">
        <f t="shared" si="12"/>
        <v>1</v>
      </c>
      <c r="M193" s="1" t="str">
        <f t="shared" si="13"/>
        <v>Delayed</v>
      </c>
      <c r="N193" s="1" t="str">
        <f t="shared" si="14"/>
        <v>High</v>
      </c>
      <c r="O193" s="1">
        <f t="shared" si="15"/>
        <v>0</v>
      </c>
      <c r="P193" s="1" t="str">
        <f t="shared" si="16"/>
        <v>High Loan</v>
      </c>
      <c r="Q193" s="1">
        <f t="shared" si="17"/>
        <v>0</v>
      </c>
    </row>
    <row r="194" spans="1:17" x14ac:dyDescent="0.3">
      <c r="A194" s="1" t="s">
        <v>222</v>
      </c>
      <c r="B194" s="1">
        <v>3</v>
      </c>
      <c r="C194" s="1" t="s">
        <v>12</v>
      </c>
      <c r="D194" s="1">
        <v>94553</v>
      </c>
      <c r="E194" s="1">
        <v>4700</v>
      </c>
      <c r="F194" s="2">
        <v>45954</v>
      </c>
      <c r="G194" s="2">
        <v>45954</v>
      </c>
      <c r="H194" s="1">
        <v>0</v>
      </c>
      <c r="I194" s="1" t="s">
        <v>21</v>
      </c>
      <c r="J194" s="1" t="s">
        <v>14</v>
      </c>
      <c r="K194" s="1" t="s">
        <v>23</v>
      </c>
      <c r="L194" s="1">
        <f t="shared" si="12"/>
        <v>0</v>
      </c>
      <c r="M194" s="1" t="str">
        <f t="shared" si="13"/>
        <v>On Time</v>
      </c>
      <c r="N194" s="1" t="str">
        <f t="shared" si="14"/>
        <v>Low</v>
      </c>
      <c r="O194" s="1">
        <f t="shared" si="15"/>
        <v>1</v>
      </c>
      <c r="P194" s="1" t="str">
        <f t="shared" si="16"/>
        <v>Very High Loan</v>
      </c>
      <c r="Q194" s="1">
        <f t="shared" si="17"/>
        <v>1</v>
      </c>
    </row>
    <row r="195" spans="1:17" x14ac:dyDescent="0.3">
      <c r="A195" s="1" t="s">
        <v>223</v>
      </c>
      <c r="B195" s="1">
        <v>2</v>
      </c>
      <c r="C195" s="1" t="s">
        <v>20</v>
      </c>
      <c r="D195" s="1">
        <v>88344</v>
      </c>
      <c r="E195" s="1">
        <v>4000</v>
      </c>
      <c r="F195" s="2">
        <v>45943</v>
      </c>
      <c r="G195" s="2">
        <v>45958</v>
      </c>
      <c r="H195" s="1">
        <v>15</v>
      </c>
      <c r="I195" s="1" t="s">
        <v>13</v>
      </c>
      <c r="J195" s="1" t="s">
        <v>14</v>
      </c>
      <c r="K195" s="1" t="s">
        <v>26</v>
      </c>
      <c r="L195" s="1">
        <f t="shared" ref="L195:L258" si="18">IF(H195&gt;0,1,0)</f>
        <v>1</v>
      </c>
      <c r="M195" s="1" t="str">
        <f t="shared" ref="M195:M258" si="19">IF(H195=0,"On Time","Delayed")</f>
        <v>Delayed</v>
      </c>
      <c r="N195" s="1" t="str">
        <f t="shared" ref="N195:N258" si="20">_xlfn.IFS(H195=0,"Low",H195&lt;=14,"Medium",H195&gt;14,"High")</f>
        <v>High</v>
      </c>
      <c r="O195" s="1">
        <f t="shared" ref="O195:O258" si="21">IF(J195="Yes",1,0)</f>
        <v>1</v>
      </c>
      <c r="P195" s="1" t="str">
        <f t="shared" ref="P195:P258" si="22">_xlfn.IFS(
 D195&lt;=$V$16,"Low Loan",
 D195&lt;=$V$17,"Mid Loan",
 D195&lt;=$V$18,"High Loan",
 TRUE,"Very High Loan"
)</f>
        <v>Very High Loan</v>
      </c>
      <c r="Q195" s="1">
        <f t="shared" ref="Q195:Q258" si="23">IF(H195=0,1,0)</f>
        <v>0</v>
      </c>
    </row>
    <row r="196" spans="1:17" x14ac:dyDescent="0.3">
      <c r="A196" s="1" t="s">
        <v>224</v>
      </c>
      <c r="B196" s="1">
        <v>2</v>
      </c>
      <c r="C196" s="1" t="s">
        <v>20</v>
      </c>
      <c r="D196" s="1">
        <v>69138</v>
      </c>
      <c r="E196" s="1">
        <v>8600</v>
      </c>
      <c r="F196" s="2">
        <v>45942</v>
      </c>
      <c r="G196" s="2">
        <v>45957</v>
      </c>
      <c r="H196" s="1">
        <v>15</v>
      </c>
      <c r="I196" s="1" t="s">
        <v>21</v>
      </c>
      <c r="J196" s="1" t="s">
        <v>14</v>
      </c>
      <c r="K196" s="1" t="s">
        <v>32</v>
      </c>
      <c r="L196" s="1">
        <f t="shared" si="18"/>
        <v>1</v>
      </c>
      <c r="M196" s="1" t="str">
        <f t="shared" si="19"/>
        <v>Delayed</v>
      </c>
      <c r="N196" s="1" t="str">
        <f t="shared" si="20"/>
        <v>High</v>
      </c>
      <c r="O196" s="1">
        <f t="shared" si="21"/>
        <v>1</v>
      </c>
      <c r="P196" s="1" t="str">
        <f t="shared" si="22"/>
        <v>High Loan</v>
      </c>
      <c r="Q196" s="1">
        <f t="shared" si="23"/>
        <v>0</v>
      </c>
    </row>
    <row r="197" spans="1:17" x14ac:dyDescent="0.3">
      <c r="A197" s="1" t="s">
        <v>225</v>
      </c>
      <c r="B197" s="1">
        <v>2</v>
      </c>
      <c r="C197" s="1" t="s">
        <v>12</v>
      </c>
      <c r="D197" s="1">
        <v>74302</v>
      </c>
      <c r="E197" s="1">
        <v>4400</v>
      </c>
      <c r="F197" s="2">
        <v>45960</v>
      </c>
      <c r="G197" s="2">
        <v>45960</v>
      </c>
      <c r="H197" s="1">
        <v>0</v>
      </c>
      <c r="I197" s="1" t="s">
        <v>21</v>
      </c>
      <c r="J197" s="1" t="s">
        <v>14</v>
      </c>
      <c r="K197" s="1" t="s">
        <v>44</v>
      </c>
      <c r="L197" s="1">
        <f t="shared" si="18"/>
        <v>0</v>
      </c>
      <c r="M197" s="1" t="str">
        <f t="shared" si="19"/>
        <v>On Time</v>
      </c>
      <c r="N197" s="1" t="str">
        <f t="shared" si="20"/>
        <v>Low</v>
      </c>
      <c r="O197" s="1">
        <f t="shared" si="21"/>
        <v>1</v>
      </c>
      <c r="P197" s="1" t="str">
        <f t="shared" si="22"/>
        <v>High Loan</v>
      </c>
      <c r="Q197" s="1">
        <f t="shared" si="23"/>
        <v>1</v>
      </c>
    </row>
    <row r="198" spans="1:17" x14ac:dyDescent="0.3">
      <c r="A198" s="1" t="s">
        <v>226</v>
      </c>
      <c r="B198" s="1">
        <v>3</v>
      </c>
      <c r="C198" s="1" t="s">
        <v>20</v>
      </c>
      <c r="D198" s="1">
        <v>67638</v>
      </c>
      <c r="E198" s="1">
        <v>9700</v>
      </c>
      <c r="F198" s="2">
        <v>45956</v>
      </c>
      <c r="G198" s="2">
        <v>45956</v>
      </c>
      <c r="H198" s="1">
        <v>0</v>
      </c>
      <c r="I198" s="1" t="s">
        <v>13</v>
      </c>
      <c r="J198" s="1" t="s">
        <v>22</v>
      </c>
      <c r="K198" s="1" t="s">
        <v>23</v>
      </c>
      <c r="L198" s="1">
        <f t="shared" si="18"/>
        <v>0</v>
      </c>
      <c r="M198" s="1" t="str">
        <f t="shared" si="19"/>
        <v>On Time</v>
      </c>
      <c r="N198" s="1" t="str">
        <f t="shared" si="20"/>
        <v>Low</v>
      </c>
      <c r="O198" s="1">
        <f t="shared" si="21"/>
        <v>0</v>
      </c>
      <c r="P198" s="1" t="str">
        <f t="shared" si="22"/>
        <v>High Loan</v>
      </c>
      <c r="Q198" s="1">
        <f t="shared" si="23"/>
        <v>1</v>
      </c>
    </row>
    <row r="199" spans="1:17" x14ac:dyDescent="0.3">
      <c r="A199" s="1" t="s">
        <v>227</v>
      </c>
      <c r="B199" s="1">
        <v>3</v>
      </c>
      <c r="C199" s="1" t="s">
        <v>12</v>
      </c>
      <c r="D199" s="1">
        <v>98249</v>
      </c>
      <c r="E199" s="1">
        <v>16400</v>
      </c>
      <c r="F199" s="2">
        <v>45936</v>
      </c>
      <c r="G199" s="2">
        <v>45936</v>
      </c>
      <c r="H199" s="1">
        <v>0</v>
      </c>
      <c r="I199" s="1" t="s">
        <v>28</v>
      </c>
      <c r="J199" s="1" t="s">
        <v>22</v>
      </c>
      <c r="K199" s="1" t="s">
        <v>44</v>
      </c>
      <c r="L199" s="1">
        <f t="shared" si="18"/>
        <v>0</v>
      </c>
      <c r="M199" s="1" t="str">
        <f t="shared" si="19"/>
        <v>On Time</v>
      </c>
      <c r="N199" s="1" t="str">
        <f t="shared" si="20"/>
        <v>Low</v>
      </c>
      <c r="O199" s="1">
        <f t="shared" si="21"/>
        <v>0</v>
      </c>
      <c r="P199" s="1" t="str">
        <f t="shared" si="22"/>
        <v>Very High Loan</v>
      </c>
      <c r="Q199" s="1">
        <f t="shared" si="23"/>
        <v>1</v>
      </c>
    </row>
    <row r="200" spans="1:17" x14ac:dyDescent="0.3">
      <c r="A200" s="1" t="s">
        <v>228</v>
      </c>
      <c r="B200" s="1">
        <v>3</v>
      </c>
      <c r="C200" s="1" t="s">
        <v>20</v>
      </c>
      <c r="D200" s="1">
        <v>22719</v>
      </c>
      <c r="E200" s="1">
        <v>1000</v>
      </c>
      <c r="F200" s="2">
        <v>45951</v>
      </c>
      <c r="G200" s="2">
        <v>45951</v>
      </c>
      <c r="H200" s="1">
        <v>0</v>
      </c>
      <c r="I200" s="1" t="s">
        <v>13</v>
      </c>
      <c r="J200" s="1" t="s">
        <v>22</v>
      </c>
      <c r="K200" s="1" t="s">
        <v>15</v>
      </c>
      <c r="L200" s="1">
        <f t="shared" si="18"/>
        <v>0</v>
      </c>
      <c r="M200" s="1" t="str">
        <f t="shared" si="19"/>
        <v>On Time</v>
      </c>
      <c r="N200" s="1" t="str">
        <f t="shared" si="20"/>
        <v>Low</v>
      </c>
      <c r="O200" s="1">
        <f t="shared" si="21"/>
        <v>0</v>
      </c>
      <c r="P200" s="1" t="str">
        <f t="shared" si="22"/>
        <v>Low Loan</v>
      </c>
      <c r="Q200" s="1">
        <f t="shared" si="23"/>
        <v>1</v>
      </c>
    </row>
    <row r="201" spans="1:17" x14ac:dyDescent="0.3">
      <c r="A201" s="1" t="s">
        <v>229</v>
      </c>
      <c r="B201" s="1">
        <v>3</v>
      </c>
      <c r="C201" s="1" t="s">
        <v>20</v>
      </c>
      <c r="D201" s="1">
        <v>42890</v>
      </c>
      <c r="E201" s="1">
        <v>2000</v>
      </c>
      <c r="F201" s="2">
        <v>45934</v>
      </c>
      <c r="G201" s="2">
        <v>45934</v>
      </c>
      <c r="H201" s="1">
        <v>0</v>
      </c>
      <c r="I201" s="1" t="s">
        <v>28</v>
      </c>
      <c r="J201" s="1" t="s">
        <v>22</v>
      </c>
      <c r="K201" s="1" t="s">
        <v>44</v>
      </c>
      <c r="L201" s="1">
        <f t="shared" si="18"/>
        <v>0</v>
      </c>
      <c r="M201" s="1" t="str">
        <f t="shared" si="19"/>
        <v>On Time</v>
      </c>
      <c r="N201" s="1" t="str">
        <f t="shared" si="20"/>
        <v>Low</v>
      </c>
      <c r="O201" s="1">
        <f t="shared" si="21"/>
        <v>0</v>
      </c>
      <c r="P201" s="1" t="str">
        <f t="shared" si="22"/>
        <v>Low Loan</v>
      </c>
      <c r="Q201" s="1">
        <f t="shared" si="23"/>
        <v>1</v>
      </c>
    </row>
    <row r="202" spans="1:17" x14ac:dyDescent="0.3">
      <c r="A202" s="1" t="s">
        <v>230</v>
      </c>
      <c r="B202" s="1">
        <v>2</v>
      </c>
      <c r="C202" s="1" t="s">
        <v>12</v>
      </c>
      <c r="D202" s="1">
        <v>97236</v>
      </c>
      <c r="E202" s="1">
        <v>9700</v>
      </c>
      <c r="F202" s="2">
        <v>45949</v>
      </c>
      <c r="G202" s="2">
        <v>45949</v>
      </c>
      <c r="H202" s="1">
        <v>0</v>
      </c>
      <c r="I202" s="1" t="s">
        <v>21</v>
      </c>
      <c r="J202" s="1" t="s">
        <v>22</v>
      </c>
      <c r="K202" s="1" t="s">
        <v>15</v>
      </c>
      <c r="L202" s="1">
        <f t="shared" si="18"/>
        <v>0</v>
      </c>
      <c r="M202" s="1" t="str">
        <f t="shared" si="19"/>
        <v>On Time</v>
      </c>
      <c r="N202" s="1" t="str">
        <f t="shared" si="20"/>
        <v>Low</v>
      </c>
      <c r="O202" s="1">
        <f t="shared" si="21"/>
        <v>0</v>
      </c>
      <c r="P202" s="1" t="str">
        <f t="shared" si="22"/>
        <v>Very High Loan</v>
      </c>
      <c r="Q202" s="1">
        <f t="shared" si="23"/>
        <v>1</v>
      </c>
    </row>
    <row r="203" spans="1:17" x14ac:dyDescent="0.3">
      <c r="A203" s="1" t="s">
        <v>231</v>
      </c>
      <c r="B203" s="1">
        <v>1</v>
      </c>
      <c r="C203" s="1" t="s">
        <v>20</v>
      </c>
      <c r="D203" s="1">
        <v>56509</v>
      </c>
      <c r="E203" s="1">
        <v>2800</v>
      </c>
      <c r="F203" s="2">
        <v>45946</v>
      </c>
      <c r="G203" s="2">
        <v>45946</v>
      </c>
      <c r="H203" s="1">
        <v>0</v>
      </c>
      <c r="I203" s="1" t="s">
        <v>28</v>
      </c>
      <c r="J203" s="1" t="s">
        <v>22</v>
      </c>
      <c r="K203" s="1" t="s">
        <v>23</v>
      </c>
      <c r="L203" s="1">
        <f t="shared" si="18"/>
        <v>0</v>
      </c>
      <c r="M203" s="1" t="str">
        <f t="shared" si="19"/>
        <v>On Time</v>
      </c>
      <c r="N203" s="1" t="str">
        <f t="shared" si="20"/>
        <v>Low</v>
      </c>
      <c r="O203" s="1">
        <f t="shared" si="21"/>
        <v>0</v>
      </c>
      <c r="P203" s="1" t="str">
        <f t="shared" si="22"/>
        <v>Mid Loan</v>
      </c>
      <c r="Q203" s="1">
        <f t="shared" si="23"/>
        <v>1</v>
      </c>
    </row>
    <row r="204" spans="1:17" x14ac:dyDescent="0.3">
      <c r="A204" s="1" t="s">
        <v>232</v>
      </c>
      <c r="B204" s="1">
        <v>1</v>
      </c>
      <c r="C204" s="1" t="s">
        <v>20</v>
      </c>
      <c r="D204" s="1">
        <v>62534</v>
      </c>
      <c r="E204" s="1">
        <v>7800</v>
      </c>
      <c r="F204" s="2">
        <v>45943</v>
      </c>
      <c r="G204" s="2">
        <v>45958</v>
      </c>
      <c r="H204" s="1">
        <v>15</v>
      </c>
      <c r="I204" s="1" t="s">
        <v>17</v>
      </c>
      <c r="J204" s="1" t="s">
        <v>22</v>
      </c>
      <c r="K204" s="1" t="s">
        <v>56</v>
      </c>
      <c r="L204" s="1">
        <f t="shared" si="18"/>
        <v>1</v>
      </c>
      <c r="M204" s="1" t="str">
        <f t="shared" si="19"/>
        <v>Delayed</v>
      </c>
      <c r="N204" s="1" t="str">
        <f t="shared" si="20"/>
        <v>High</v>
      </c>
      <c r="O204" s="1">
        <f t="shared" si="21"/>
        <v>0</v>
      </c>
      <c r="P204" s="1" t="str">
        <f t="shared" si="22"/>
        <v>High Loan</v>
      </c>
      <c r="Q204" s="1">
        <f t="shared" si="23"/>
        <v>0</v>
      </c>
    </row>
    <row r="205" spans="1:17" x14ac:dyDescent="0.3">
      <c r="A205" s="1" t="s">
        <v>233</v>
      </c>
      <c r="B205" s="1">
        <v>3</v>
      </c>
      <c r="C205" s="1" t="s">
        <v>20</v>
      </c>
      <c r="D205" s="1">
        <v>38787</v>
      </c>
      <c r="E205" s="1">
        <v>3200</v>
      </c>
      <c r="F205" s="2">
        <v>45934</v>
      </c>
      <c r="G205" s="2">
        <v>45934</v>
      </c>
      <c r="H205" s="1">
        <v>0</v>
      </c>
      <c r="I205" s="1" t="s">
        <v>17</v>
      </c>
      <c r="J205" s="1" t="s">
        <v>22</v>
      </c>
      <c r="K205" s="1" t="s">
        <v>34</v>
      </c>
      <c r="L205" s="1">
        <f t="shared" si="18"/>
        <v>0</v>
      </c>
      <c r="M205" s="1" t="str">
        <f t="shared" si="19"/>
        <v>On Time</v>
      </c>
      <c r="N205" s="1" t="str">
        <f t="shared" si="20"/>
        <v>Low</v>
      </c>
      <c r="O205" s="1">
        <f t="shared" si="21"/>
        <v>0</v>
      </c>
      <c r="P205" s="1" t="str">
        <f t="shared" si="22"/>
        <v>Low Loan</v>
      </c>
      <c r="Q205" s="1">
        <f t="shared" si="23"/>
        <v>1</v>
      </c>
    </row>
    <row r="206" spans="1:17" x14ac:dyDescent="0.3">
      <c r="A206" s="1" t="s">
        <v>234</v>
      </c>
      <c r="B206" s="1">
        <v>2</v>
      </c>
      <c r="C206" s="1" t="s">
        <v>20</v>
      </c>
      <c r="D206" s="1">
        <v>68845</v>
      </c>
      <c r="E206" s="1">
        <v>4300</v>
      </c>
      <c r="F206" s="2">
        <v>45960</v>
      </c>
      <c r="G206" s="2">
        <v>45975</v>
      </c>
      <c r="H206" s="1">
        <v>15</v>
      </c>
      <c r="I206" s="1" t="s">
        <v>17</v>
      </c>
      <c r="J206" s="1" t="s">
        <v>22</v>
      </c>
      <c r="K206" s="1" t="s">
        <v>44</v>
      </c>
      <c r="L206" s="1">
        <f t="shared" si="18"/>
        <v>1</v>
      </c>
      <c r="M206" s="1" t="str">
        <f t="shared" si="19"/>
        <v>Delayed</v>
      </c>
      <c r="N206" s="1" t="str">
        <f t="shared" si="20"/>
        <v>High</v>
      </c>
      <c r="O206" s="1">
        <f t="shared" si="21"/>
        <v>0</v>
      </c>
      <c r="P206" s="1" t="str">
        <f t="shared" si="22"/>
        <v>High Loan</v>
      </c>
      <c r="Q206" s="1">
        <f t="shared" si="23"/>
        <v>0</v>
      </c>
    </row>
    <row r="207" spans="1:17" x14ac:dyDescent="0.3">
      <c r="A207" s="1" t="s">
        <v>235</v>
      </c>
      <c r="B207" s="1">
        <v>1</v>
      </c>
      <c r="C207" s="1" t="s">
        <v>30</v>
      </c>
      <c r="D207" s="1">
        <v>77932</v>
      </c>
      <c r="E207" s="1">
        <v>5200</v>
      </c>
      <c r="F207" s="2">
        <v>45953</v>
      </c>
      <c r="G207" s="2">
        <v>45953</v>
      </c>
      <c r="H207" s="1">
        <v>0</v>
      </c>
      <c r="I207" s="1" t="s">
        <v>21</v>
      </c>
      <c r="J207" s="1" t="s">
        <v>22</v>
      </c>
      <c r="K207" s="1" t="s">
        <v>23</v>
      </c>
      <c r="L207" s="1">
        <f t="shared" si="18"/>
        <v>0</v>
      </c>
      <c r="M207" s="1" t="str">
        <f t="shared" si="19"/>
        <v>On Time</v>
      </c>
      <c r="N207" s="1" t="str">
        <f t="shared" si="20"/>
        <v>Low</v>
      </c>
      <c r="O207" s="1">
        <f t="shared" si="21"/>
        <v>0</v>
      </c>
      <c r="P207" s="1" t="str">
        <f t="shared" si="22"/>
        <v>High Loan</v>
      </c>
      <c r="Q207" s="1">
        <f t="shared" si="23"/>
        <v>1</v>
      </c>
    </row>
    <row r="208" spans="1:17" x14ac:dyDescent="0.3">
      <c r="A208" s="1" t="s">
        <v>236</v>
      </c>
      <c r="B208" s="1">
        <v>1</v>
      </c>
      <c r="C208" s="1" t="s">
        <v>20</v>
      </c>
      <c r="D208" s="1">
        <v>53062</v>
      </c>
      <c r="E208" s="1">
        <v>3800</v>
      </c>
      <c r="F208" s="2">
        <v>45947</v>
      </c>
      <c r="G208" s="2">
        <v>45977</v>
      </c>
      <c r="H208" s="1">
        <v>30</v>
      </c>
      <c r="I208" s="1" t="s">
        <v>21</v>
      </c>
      <c r="J208" s="1" t="s">
        <v>22</v>
      </c>
      <c r="K208" s="1" t="s">
        <v>32</v>
      </c>
      <c r="L208" s="1">
        <f t="shared" si="18"/>
        <v>1</v>
      </c>
      <c r="M208" s="1" t="str">
        <f t="shared" si="19"/>
        <v>Delayed</v>
      </c>
      <c r="N208" s="1" t="str">
        <f t="shared" si="20"/>
        <v>High</v>
      </c>
      <c r="O208" s="1">
        <f t="shared" si="21"/>
        <v>0</v>
      </c>
      <c r="P208" s="1" t="str">
        <f t="shared" si="22"/>
        <v>Mid Loan</v>
      </c>
      <c r="Q208" s="1">
        <f t="shared" si="23"/>
        <v>0</v>
      </c>
    </row>
    <row r="209" spans="1:17" x14ac:dyDescent="0.3">
      <c r="A209" s="1" t="s">
        <v>237</v>
      </c>
      <c r="B209" s="1">
        <v>2</v>
      </c>
      <c r="C209" s="1" t="s">
        <v>12</v>
      </c>
      <c r="D209" s="1">
        <v>95713</v>
      </c>
      <c r="E209" s="1">
        <v>5000</v>
      </c>
      <c r="F209" s="2">
        <v>45953</v>
      </c>
      <c r="G209" s="2">
        <v>45956</v>
      </c>
      <c r="H209" s="1">
        <v>3</v>
      </c>
      <c r="I209" s="1" t="s">
        <v>28</v>
      </c>
      <c r="J209" s="1" t="s">
        <v>14</v>
      </c>
      <c r="K209" s="1" t="s">
        <v>44</v>
      </c>
      <c r="L209" s="1">
        <f t="shared" si="18"/>
        <v>1</v>
      </c>
      <c r="M209" s="1" t="str">
        <f t="shared" si="19"/>
        <v>Delayed</v>
      </c>
      <c r="N209" s="1" t="str">
        <f t="shared" si="20"/>
        <v>Medium</v>
      </c>
      <c r="O209" s="1">
        <f t="shared" si="21"/>
        <v>1</v>
      </c>
      <c r="P209" s="1" t="str">
        <f t="shared" si="22"/>
        <v>Very High Loan</v>
      </c>
      <c r="Q209" s="1">
        <f t="shared" si="23"/>
        <v>0</v>
      </c>
    </row>
    <row r="210" spans="1:17" x14ac:dyDescent="0.3">
      <c r="A210" s="1" t="s">
        <v>238</v>
      </c>
      <c r="B210" s="1">
        <v>1</v>
      </c>
      <c r="C210" s="1" t="s">
        <v>20</v>
      </c>
      <c r="D210" s="1">
        <v>80461</v>
      </c>
      <c r="E210" s="1">
        <v>4500</v>
      </c>
      <c r="F210" s="2">
        <v>45931</v>
      </c>
      <c r="G210" s="2">
        <v>45931</v>
      </c>
      <c r="H210" s="1">
        <v>0</v>
      </c>
      <c r="I210" s="1" t="s">
        <v>28</v>
      </c>
      <c r="J210" s="1" t="s">
        <v>22</v>
      </c>
      <c r="K210" s="1" t="s">
        <v>34</v>
      </c>
      <c r="L210" s="1">
        <f t="shared" si="18"/>
        <v>0</v>
      </c>
      <c r="M210" s="1" t="str">
        <f t="shared" si="19"/>
        <v>On Time</v>
      </c>
      <c r="N210" s="1" t="str">
        <f t="shared" si="20"/>
        <v>Low</v>
      </c>
      <c r="O210" s="1">
        <f t="shared" si="21"/>
        <v>0</v>
      </c>
      <c r="P210" s="1" t="str">
        <f t="shared" si="22"/>
        <v>Very High Loan</v>
      </c>
      <c r="Q210" s="1">
        <f t="shared" si="23"/>
        <v>1</v>
      </c>
    </row>
    <row r="211" spans="1:17" x14ac:dyDescent="0.3">
      <c r="A211" s="1" t="s">
        <v>239</v>
      </c>
      <c r="B211" s="1">
        <v>1</v>
      </c>
      <c r="C211" s="1" t="s">
        <v>12</v>
      </c>
      <c r="D211" s="1">
        <v>95418</v>
      </c>
      <c r="E211" s="1">
        <v>13600</v>
      </c>
      <c r="F211" s="2">
        <v>45948</v>
      </c>
      <c r="G211" s="2">
        <v>45951</v>
      </c>
      <c r="H211" s="1">
        <v>3</v>
      </c>
      <c r="I211" s="1" t="s">
        <v>13</v>
      </c>
      <c r="J211" s="1" t="s">
        <v>22</v>
      </c>
      <c r="K211" s="1" t="s">
        <v>56</v>
      </c>
      <c r="L211" s="1">
        <f t="shared" si="18"/>
        <v>1</v>
      </c>
      <c r="M211" s="1" t="str">
        <f t="shared" si="19"/>
        <v>Delayed</v>
      </c>
      <c r="N211" s="1" t="str">
        <f t="shared" si="20"/>
        <v>Medium</v>
      </c>
      <c r="O211" s="1">
        <f t="shared" si="21"/>
        <v>0</v>
      </c>
      <c r="P211" s="1" t="str">
        <f t="shared" si="22"/>
        <v>Very High Loan</v>
      </c>
      <c r="Q211" s="1">
        <f t="shared" si="23"/>
        <v>0</v>
      </c>
    </row>
    <row r="212" spans="1:17" x14ac:dyDescent="0.3">
      <c r="A212" s="1" t="s">
        <v>240</v>
      </c>
      <c r="B212" s="1">
        <v>2</v>
      </c>
      <c r="C212" s="1" t="s">
        <v>12</v>
      </c>
      <c r="D212" s="1">
        <v>86672</v>
      </c>
      <c r="E212" s="1">
        <v>10800</v>
      </c>
      <c r="F212" s="2">
        <v>45950</v>
      </c>
      <c r="G212" s="2">
        <v>45950</v>
      </c>
      <c r="H212" s="1">
        <v>0</v>
      </c>
      <c r="I212" s="1" t="s">
        <v>21</v>
      </c>
      <c r="J212" s="1" t="s">
        <v>22</v>
      </c>
      <c r="K212" s="1" t="s">
        <v>56</v>
      </c>
      <c r="L212" s="1">
        <f t="shared" si="18"/>
        <v>0</v>
      </c>
      <c r="M212" s="1" t="str">
        <f t="shared" si="19"/>
        <v>On Time</v>
      </c>
      <c r="N212" s="1" t="str">
        <f t="shared" si="20"/>
        <v>Low</v>
      </c>
      <c r="O212" s="1">
        <f t="shared" si="21"/>
        <v>0</v>
      </c>
      <c r="P212" s="1" t="str">
        <f t="shared" si="22"/>
        <v>Very High Loan</v>
      </c>
      <c r="Q212" s="1">
        <f t="shared" si="23"/>
        <v>1</v>
      </c>
    </row>
    <row r="213" spans="1:17" x14ac:dyDescent="0.3">
      <c r="A213" s="1" t="s">
        <v>241</v>
      </c>
      <c r="B213" s="1">
        <v>2</v>
      </c>
      <c r="C213" s="1" t="s">
        <v>12</v>
      </c>
      <c r="D213" s="1">
        <v>54832</v>
      </c>
      <c r="E213" s="1">
        <v>4600</v>
      </c>
      <c r="F213" s="2">
        <v>45947</v>
      </c>
      <c r="G213" s="2">
        <v>45947</v>
      </c>
      <c r="H213" s="1">
        <v>0</v>
      </c>
      <c r="I213" s="1" t="s">
        <v>17</v>
      </c>
      <c r="J213" s="1" t="s">
        <v>22</v>
      </c>
      <c r="K213" s="1" t="s">
        <v>32</v>
      </c>
      <c r="L213" s="1">
        <f t="shared" si="18"/>
        <v>0</v>
      </c>
      <c r="M213" s="1" t="str">
        <f t="shared" si="19"/>
        <v>On Time</v>
      </c>
      <c r="N213" s="1" t="str">
        <f t="shared" si="20"/>
        <v>Low</v>
      </c>
      <c r="O213" s="1">
        <f t="shared" si="21"/>
        <v>0</v>
      </c>
      <c r="P213" s="1" t="str">
        <f t="shared" si="22"/>
        <v>Mid Loan</v>
      </c>
      <c r="Q213" s="1">
        <f t="shared" si="23"/>
        <v>1</v>
      </c>
    </row>
    <row r="214" spans="1:17" x14ac:dyDescent="0.3">
      <c r="A214" s="1" t="s">
        <v>242</v>
      </c>
      <c r="B214" s="1">
        <v>2</v>
      </c>
      <c r="C214" s="1" t="s">
        <v>20</v>
      </c>
      <c r="D214" s="1">
        <v>51966</v>
      </c>
      <c r="E214" s="1">
        <v>2300</v>
      </c>
      <c r="F214" s="2">
        <v>45957</v>
      </c>
      <c r="G214" s="2">
        <v>45987</v>
      </c>
      <c r="H214" s="1">
        <v>30</v>
      </c>
      <c r="I214" s="1" t="s">
        <v>17</v>
      </c>
      <c r="J214" s="1" t="s">
        <v>22</v>
      </c>
      <c r="K214" s="1" t="s">
        <v>26</v>
      </c>
      <c r="L214" s="1">
        <f t="shared" si="18"/>
        <v>1</v>
      </c>
      <c r="M214" s="1" t="str">
        <f t="shared" si="19"/>
        <v>Delayed</v>
      </c>
      <c r="N214" s="1" t="str">
        <f t="shared" si="20"/>
        <v>High</v>
      </c>
      <c r="O214" s="1">
        <f t="shared" si="21"/>
        <v>0</v>
      </c>
      <c r="P214" s="1" t="str">
        <f t="shared" si="22"/>
        <v>Mid Loan</v>
      </c>
      <c r="Q214" s="1">
        <f t="shared" si="23"/>
        <v>0</v>
      </c>
    </row>
    <row r="215" spans="1:17" x14ac:dyDescent="0.3">
      <c r="A215" s="1" t="s">
        <v>243</v>
      </c>
      <c r="B215" s="1">
        <v>2</v>
      </c>
      <c r="C215" s="1" t="s">
        <v>20</v>
      </c>
      <c r="D215" s="1">
        <v>92545</v>
      </c>
      <c r="E215" s="1">
        <v>11600</v>
      </c>
      <c r="F215" s="2">
        <v>45958</v>
      </c>
      <c r="G215" s="2">
        <v>45958</v>
      </c>
      <c r="H215" s="1">
        <v>0</v>
      </c>
      <c r="I215" s="1" t="s">
        <v>21</v>
      </c>
      <c r="J215" s="1" t="s">
        <v>22</v>
      </c>
      <c r="K215" s="1" t="s">
        <v>32</v>
      </c>
      <c r="L215" s="1">
        <f t="shared" si="18"/>
        <v>0</v>
      </c>
      <c r="M215" s="1" t="str">
        <f t="shared" si="19"/>
        <v>On Time</v>
      </c>
      <c r="N215" s="1" t="str">
        <f t="shared" si="20"/>
        <v>Low</v>
      </c>
      <c r="O215" s="1">
        <f t="shared" si="21"/>
        <v>0</v>
      </c>
      <c r="P215" s="1" t="str">
        <f t="shared" si="22"/>
        <v>Very High Loan</v>
      </c>
      <c r="Q215" s="1">
        <f t="shared" si="23"/>
        <v>1</v>
      </c>
    </row>
    <row r="216" spans="1:17" x14ac:dyDescent="0.3">
      <c r="A216" s="1" t="s">
        <v>244</v>
      </c>
      <c r="B216" s="1">
        <v>3</v>
      </c>
      <c r="C216" s="1" t="s">
        <v>20</v>
      </c>
      <c r="D216" s="1">
        <v>32987</v>
      </c>
      <c r="E216" s="1">
        <v>2200</v>
      </c>
      <c r="F216" s="2">
        <v>45957</v>
      </c>
      <c r="G216" s="2">
        <v>45957</v>
      </c>
      <c r="H216" s="1">
        <v>0</v>
      </c>
      <c r="I216" s="1" t="s">
        <v>17</v>
      </c>
      <c r="J216" s="1" t="s">
        <v>22</v>
      </c>
      <c r="K216" s="1" t="s">
        <v>44</v>
      </c>
      <c r="L216" s="1">
        <f t="shared" si="18"/>
        <v>0</v>
      </c>
      <c r="M216" s="1" t="str">
        <f t="shared" si="19"/>
        <v>On Time</v>
      </c>
      <c r="N216" s="1" t="str">
        <f t="shared" si="20"/>
        <v>Low</v>
      </c>
      <c r="O216" s="1">
        <f t="shared" si="21"/>
        <v>0</v>
      </c>
      <c r="P216" s="1" t="str">
        <f t="shared" si="22"/>
        <v>Low Loan</v>
      </c>
      <c r="Q216" s="1">
        <f t="shared" si="23"/>
        <v>1</v>
      </c>
    </row>
    <row r="217" spans="1:17" x14ac:dyDescent="0.3">
      <c r="A217" s="1" t="s">
        <v>245</v>
      </c>
      <c r="B217" s="1">
        <v>2</v>
      </c>
      <c r="C217" s="1" t="s">
        <v>30</v>
      </c>
      <c r="D217" s="1">
        <v>57311</v>
      </c>
      <c r="E217" s="1">
        <v>4800</v>
      </c>
      <c r="F217" s="2">
        <v>45945</v>
      </c>
      <c r="G217" s="2">
        <v>45952</v>
      </c>
      <c r="H217" s="1">
        <v>7</v>
      </c>
      <c r="I217" s="1" t="s">
        <v>28</v>
      </c>
      <c r="J217" s="1" t="s">
        <v>22</v>
      </c>
      <c r="K217" s="1" t="s">
        <v>26</v>
      </c>
      <c r="L217" s="1">
        <f t="shared" si="18"/>
        <v>1</v>
      </c>
      <c r="M217" s="1" t="str">
        <f t="shared" si="19"/>
        <v>Delayed</v>
      </c>
      <c r="N217" s="1" t="str">
        <f t="shared" si="20"/>
        <v>Medium</v>
      </c>
      <c r="O217" s="1">
        <f t="shared" si="21"/>
        <v>0</v>
      </c>
      <c r="P217" s="1" t="str">
        <f t="shared" si="22"/>
        <v>Mid Loan</v>
      </c>
      <c r="Q217" s="1">
        <f t="shared" si="23"/>
        <v>0</v>
      </c>
    </row>
    <row r="218" spans="1:17" x14ac:dyDescent="0.3">
      <c r="A218" s="1" t="s">
        <v>246</v>
      </c>
      <c r="B218" s="1">
        <v>2</v>
      </c>
      <c r="C218" s="1" t="s">
        <v>12</v>
      </c>
      <c r="D218" s="1">
        <v>51575</v>
      </c>
      <c r="E218" s="1">
        <v>3700</v>
      </c>
      <c r="F218" s="2">
        <v>45941</v>
      </c>
      <c r="G218" s="2">
        <v>45971</v>
      </c>
      <c r="H218" s="1">
        <v>30</v>
      </c>
      <c r="I218" s="1" t="s">
        <v>28</v>
      </c>
      <c r="J218" s="1" t="s">
        <v>22</v>
      </c>
      <c r="K218" s="1" t="s">
        <v>70</v>
      </c>
      <c r="L218" s="1">
        <f t="shared" si="18"/>
        <v>1</v>
      </c>
      <c r="M218" s="1" t="str">
        <f t="shared" si="19"/>
        <v>Delayed</v>
      </c>
      <c r="N218" s="1" t="str">
        <f t="shared" si="20"/>
        <v>High</v>
      </c>
      <c r="O218" s="1">
        <f t="shared" si="21"/>
        <v>0</v>
      </c>
      <c r="P218" s="1" t="str">
        <f t="shared" si="22"/>
        <v>Mid Loan</v>
      </c>
      <c r="Q218" s="1">
        <f t="shared" si="23"/>
        <v>0</v>
      </c>
    </row>
    <row r="219" spans="1:17" x14ac:dyDescent="0.3">
      <c r="A219" s="1" t="s">
        <v>247</v>
      </c>
      <c r="B219" s="1">
        <v>3</v>
      </c>
      <c r="C219" s="1" t="s">
        <v>30</v>
      </c>
      <c r="D219" s="1">
        <v>83852</v>
      </c>
      <c r="E219" s="1">
        <v>3800</v>
      </c>
      <c r="F219" s="2">
        <v>45955</v>
      </c>
      <c r="G219" s="2">
        <v>45958</v>
      </c>
      <c r="H219" s="1">
        <v>3</v>
      </c>
      <c r="I219" s="1" t="s">
        <v>28</v>
      </c>
      <c r="J219" s="1" t="s">
        <v>22</v>
      </c>
      <c r="K219" s="1" t="s">
        <v>56</v>
      </c>
      <c r="L219" s="1">
        <f t="shared" si="18"/>
        <v>1</v>
      </c>
      <c r="M219" s="1" t="str">
        <f t="shared" si="19"/>
        <v>Delayed</v>
      </c>
      <c r="N219" s="1" t="str">
        <f t="shared" si="20"/>
        <v>Medium</v>
      </c>
      <c r="O219" s="1">
        <f t="shared" si="21"/>
        <v>0</v>
      </c>
      <c r="P219" s="1" t="str">
        <f t="shared" si="22"/>
        <v>Very High Loan</v>
      </c>
      <c r="Q219" s="1">
        <f t="shared" si="23"/>
        <v>0</v>
      </c>
    </row>
    <row r="220" spans="1:17" x14ac:dyDescent="0.3">
      <c r="A220" s="1" t="s">
        <v>248</v>
      </c>
      <c r="B220" s="1">
        <v>2</v>
      </c>
      <c r="C220" s="1" t="s">
        <v>20</v>
      </c>
      <c r="D220" s="1">
        <v>21007</v>
      </c>
      <c r="E220" s="1">
        <v>1300</v>
      </c>
      <c r="F220" s="2">
        <v>45958</v>
      </c>
      <c r="G220" s="2">
        <v>45958</v>
      </c>
      <c r="H220" s="1">
        <v>0</v>
      </c>
      <c r="I220" s="1" t="s">
        <v>21</v>
      </c>
      <c r="J220" s="1" t="s">
        <v>22</v>
      </c>
      <c r="K220" s="1" t="s">
        <v>34</v>
      </c>
      <c r="L220" s="1">
        <f t="shared" si="18"/>
        <v>0</v>
      </c>
      <c r="M220" s="1" t="str">
        <f t="shared" si="19"/>
        <v>On Time</v>
      </c>
      <c r="N220" s="1" t="str">
        <f t="shared" si="20"/>
        <v>Low</v>
      </c>
      <c r="O220" s="1">
        <f t="shared" si="21"/>
        <v>0</v>
      </c>
      <c r="P220" s="1" t="str">
        <f t="shared" si="22"/>
        <v>Low Loan</v>
      </c>
      <c r="Q220" s="1">
        <f t="shared" si="23"/>
        <v>1</v>
      </c>
    </row>
    <row r="221" spans="1:17" x14ac:dyDescent="0.3">
      <c r="A221" s="1" t="s">
        <v>249</v>
      </c>
      <c r="B221" s="1">
        <v>3</v>
      </c>
      <c r="C221" s="1" t="s">
        <v>12</v>
      </c>
      <c r="D221" s="1">
        <v>90981</v>
      </c>
      <c r="E221" s="1">
        <v>7600</v>
      </c>
      <c r="F221" s="2">
        <v>45952</v>
      </c>
      <c r="G221" s="2">
        <v>45955</v>
      </c>
      <c r="H221" s="1">
        <v>3</v>
      </c>
      <c r="I221" s="1" t="s">
        <v>21</v>
      </c>
      <c r="J221" s="1" t="s">
        <v>14</v>
      </c>
      <c r="K221" s="1" t="s">
        <v>56</v>
      </c>
      <c r="L221" s="1">
        <f t="shared" si="18"/>
        <v>1</v>
      </c>
      <c r="M221" s="1" t="str">
        <f t="shared" si="19"/>
        <v>Delayed</v>
      </c>
      <c r="N221" s="1" t="str">
        <f t="shared" si="20"/>
        <v>Medium</v>
      </c>
      <c r="O221" s="1">
        <f t="shared" si="21"/>
        <v>1</v>
      </c>
      <c r="P221" s="1" t="str">
        <f t="shared" si="22"/>
        <v>Very High Loan</v>
      </c>
      <c r="Q221" s="1">
        <f t="shared" si="23"/>
        <v>0</v>
      </c>
    </row>
    <row r="222" spans="1:17" x14ac:dyDescent="0.3">
      <c r="A222" s="1" t="s">
        <v>250</v>
      </c>
      <c r="B222" s="1">
        <v>2</v>
      </c>
      <c r="C222" s="1" t="s">
        <v>30</v>
      </c>
      <c r="D222" s="1">
        <v>96242</v>
      </c>
      <c r="E222" s="1">
        <v>5100</v>
      </c>
      <c r="F222" s="2">
        <v>45943</v>
      </c>
      <c r="G222" s="2">
        <v>45943</v>
      </c>
      <c r="H222" s="1">
        <v>0</v>
      </c>
      <c r="I222" s="1" t="s">
        <v>21</v>
      </c>
      <c r="J222" s="1" t="s">
        <v>22</v>
      </c>
      <c r="K222" s="1" t="s">
        <v>56</v>
      </c>
      <c r="L222" s="1">
        <f t="shared" si="18"/>
        <v>0</v>
      </c>
      <c r="M222" s="1" t="str">
        <f t="shared" si="19"/>
        <v>On Time</v>
      </c>
      <c r="N222" s="1" t="str">
        <f t="shared" si="20"/>
        <v>Low</v>
      </c>
      <c r="O222" s="1">
        <f t="shared" si="21"/>
        <v>0</v>
      </c>
      <c r="P222" s="1" t="str">
        <f t="shared" si="22"/>
        <v>Very High Loan</v>
      </c>
      <c r="Q222" s="1">
        <f t="shared" si="23"/>
        <v>1</v>
      </c>
    </row>
    <row r="223" spans="1:17" x14ac:dyDescent="0.3">
      <c r="A223" s="1" t="s">
        <v>251</v>
      </c>
      <c r="B223" s="1">
        <v>2</v>
      </c>
      <c r="C223" s="1" t="s">
        <v>20</v>
      </c>
      <c r="D223" s="1">
        <v>67517</v>
      </c>
      <c r="E223" s="1">
        <v>7500</v>
      </c>
      <c r="F223" s="2">
        <v>45931</v>
      </c>
      <c r="G223" s="2">
        <v>45938</v>
      </c>
      <c r="H223" s="1">
        <v>7</v>
      </c>
      <c r="I223" s="1" t="s">
        <v>21</v>
      </c>
      <c r="J223" s="1" t="s">
        <v>14</v>
      </c>
      <c r="K223" s="1" t="s">
        <v>18</v>
      </c>
      <c r="L223" s="1">
        <f t="shared" si="18"/>
        <v>1</v>
      </c>
      <c r="M223" s="1" t="str">
        <f t="shared" si="19"/>
        <v>Delayed</v>
      </c>
      <c r="N223" s="1" t="str">
        <f t="shared" si="20"/>
        <v>Medium</v>
      </c>
      <c r="O223" s="1">
        <f t="shared" si="21"/>
        <v>1</v>
      </c>
      <c r="P223" s="1" t="str">
        <f t="shared" si="22"/>
        <v>High Loan</v>
      </c>
      <c r="Q223" s="1">
        <f t="shared" si="23"/>
        <v>0</v>
      </c>
    </row>
    <row r="224" spans="1:17" x14ac:dyDescent="0.3">
      <c r="A224" s="1" t="s">
        <v>252</v>
      </c>
      <c r="B224" s="1">
        <v>1</v>
      </c>
      <c r="C224" s="1" t="s">
        <v>20</v>
      </c>
      <c r="D224" s="1">
        <v>49257</v>
      </c>
      <c r="E224" s="1">
        <v>4500</v>
      </c>
      <c r="F224" s="2">
        <v>45947</v>
      </c>
      <c r="G224" s="2">
        <v>45992</v>
      </c>
      <c r="H224" s="1">
        <v>45</v>
      </c>
      <c r="I224" s="1" t="s">
        <v>21</v>
      </c>
      <c r="J224" s="1" t="s">
        <v>22</v>
      </c>
      <c r="K224" s="1" t="s">
        <v>23</v>
      </c>
      <c r="L224" s="1">
        <f t="shared" si="18"/>
        <v>1</v>
      </c>
      <c r="M224" s="1" t="str">
        <f t="shared" si="19"/>
        <v>Delayed</v>
      </c>
      <c r="N224" s="1" t="str">
        <f t="shared" si="20"/>
        <v>High</v>
      </c>
      <c r="O224" s="1">
        <f t="shared" si="21"/>
        <v>0</v>
      </c>
      <c r="P224" s="1" t="str">
        <f t="shared" si="22"/>
        <v>Mid Loan</v>
      </c>
      <c r="Q224" s="1">
        <f t="shared" si="23"/>
        <v>0</v>
      </c>
    </row>
    <row r="225" spans="1:17" x14ac:dyDescent="0.3">
      <c r="A225" s="1" t="s">
        <v>253</v>
      </c>
      <c r="B225" s="1">
        <v>2</v>
      </c>
      <c r="C225" s="1" t="s">
        <v>12</v>
      </c>
      <c r="D225" s="1">
        <v>62207</v>
      </c>
      <c r="E225" s="1">
        <v>4100</v>
      </c>
      <c r="F225" s="2">
        <v>45936</v>
      </c>
      <c r="G225" s="2">
        <v>45943</v>
      </c>
      <c r="H225" s="1">
        <v>7</v>
      </c>
      <c r="I225" s="1" t="s">
        <v>17</v>
      </c>
      <c r="J225" s="1" t="s">
        <v>22</v>
      </c>
      <c r="K225" s="1" t="s">
        <v>23</v>
      </c>
      <c r="L225" s="1">
        <f t="shared" si="18"/>
        <v>1</v>
      </c>
      <c r="M225" s="1" t="str">
        <f t="shared" si="19"/>
        <v>Delayed</v>
      </c>
      <c r="N225" s="1" t="str">
        <f t="shared" si="20"/>
        <v>Medium</v>
      </c>
      <c r="O225" s="1">
        <f t="shared" si="21"/>
        <v>0</v>
      </c>
      <c r="P225" s="1" t="str">
        <f t="shared" si="22"/>
        <v>High Loan</v>
      </c>
      <c r="Q225" s="1">
        <f t="shared" si="23"/>
        <v>0</v>
      </c>
    </row>
    <row r="226" spans="1:17" x14ac:dyDescent="0.3">
      <c r="A226" s="1" t="s">
        <v>254</v>
      </c>
      <c r="B226" s="1">
        <v>2</v>
      </c>
      <c r="C226" s="1" t="s">
        <v>12</v>
      </c>
      <c r="D226" s="1">
        <v>33281</v>
      </c>
      <c r="E226" s="1">
        <v>2800</v>
      </c>
      <c r="F226" s="2">
        <v>45934</v>
      </c>
      <c r="G226" s="2">
        <v>45949</v>
      </c>
      <c r="H226" s="1">
        <v>15</v>
      </c>
      <c r="I226" s="1" t="s">
        <v>17</v>
      </c>
      <c r="J226" s="1" t="s">
        <v>22</v>
      </c>
      <c r="K226" s="1" t="s">
        <v>56</v>
      </c>
      <c r="L226" s="1">
        <f t="shared" si="18"/>
        <v>1</v>
      </c>
      <c r="M226" s="1" t="str">
        <f t="shared" si="19"/>
        <v>Delayed</v>
      </c>
      <c r="N226" s="1" t="str">
        <f t="shared" si="20"/>
        <v>High</v>
      </c>
      <c r="O226" s="1">
        <f t="shared" si="21"/>
        <v>0</v>
      </c>
      <c r="P226" s="1" t="str">
        <f t="shared" si="22"/>
        <v>Low Loan</v>
      </c>
      <c r="Q226" s="1">
        <f t="shared" si="23"/>
        <v>0</v>
      </c>
    </row>
    <row r="227" spans="1:17" x14ac:dyDescent="0.3">
      <c r="A227" s="1" t="s">
        <v>255</v>
      </c>
      <c r="B227" s="1">
        <v>2</v>
      </c>
      <c r="C227" s="1" t="s">
        <v>12</v>
      </c>
      <c r="D227" s="1">
        <v>81246</v>
      </c>
      <c r="E227" s="1">
        <v>4500</v>
      </c>
      <c r="F227" s="2">
        <v>45950</v>
      </c>
      <c r="G227" s="2">
        <v>45950</v>
      </c>
      <c r="H227" s="1">
        <v>0</v>
      </c>
      <c r="I227" s="1" t="s">
        <v>28</v>
      </c>
      <c r="J227" s="1" t="s">
        <v>14</v>
      </c>
      <c r="K227" s="1" t="s">
        <v>54</v>
      </c>
      <c r="L227" s="1">
        <f t="shared" si="18"/>
        <v>0</v>
      </c>
      <c r="M227" s="1" t="str">
        <f t="shared" si="19"/>
        <v>On Time</v>
      </c>
      <c r="N227" s="1" t="str">
        <f t="shared" si="20"/>
        <v>Low</v>
      </c>
      <c r="O227" s="1">
        <f t="shared" si="21"/>
        <v>1</v>
      </c>
      <c r="P227" s="1" t="str">
        <f t="shared" si="22"/>
        <v>Very High Loan</v>
      </c>
      <c r="Q227" s="1">
        <f t="shared" si="23"/>
        <v>1</v>
      </c>
    </row>
    <row r="228" spans="1:17" x14ac:dyDescent="0.3">
      <c r="A228" s="1" t="s">
        <v>256</v>
      </c>
      <c r="B228" s="1">
        <v>3</v>
      </c>
      <c r="C228" s="1" t="s">
        <v>20</v>
      </c>
      <c r="D228" s="1">
        <v>21435</v>
      </c>
      <c r="E228" s="1">
        <v>1100</v>
      </c>
      <c r="F228" s="2">
        <v>45946</v>
      </c>
      <c r="G228" s="2">
        <v>45953</v>
      </c>
      <c r="H228" s="1">
        <v>7</v>
      </c>
      <c r="I228" s="1" t="s">
        <v>28</v>
      </c>
      <c r="J228" s="1" t="s">
        <v>22</v>
      </c>
      <c r="K228" s="1" t="s">
        <v>15</v>
      </c>
      <c r="L228" s="1">
        <f t="shared" si="18"/>
        <v>1</v>
      </c>
      <c r="M228" s="1" t="str">
        <f t="shared" si="19"/>
        <v>Delayed</v>
      </c>
      <c r="N228" s="1" t="str">
        <f t="shared" si="20"/>
        <v>Medium</v>
      </c>
      <c r="O228" s="1">
        <f t="shared" si="21"/>
        <v>0</v>
      </c>
      <c r="P228" s="1" t="str">
        <f t="shared" si="22"/>
        <v>Low Loan</v>
      </c>
      <c r="Q228" s="1">
        <f t="shared" si="23"/>
        <v>0</v>
      </c>
    </row>
    <row r="229" spans="1:17" x14ac:dyDescent="0.3">
      <c r="A229" s="1" t="s">
        <v>257</v>
      </c>
      <c r="B229" s="1">
        <v>2</v>
      </c>
      <c r="C229" s="1" t="s">
        <v>12</v>
      </c>
      <c r="D229" s="1">
        <v>46660</v>
      </c>
      <c r="E229" s="1">
        <v>5200</v>
      </c>
      <c r="F229" s="2">
        <v>45945</v>
      </c>
      <c r="G229" s="2">
        <v>45960</v>
      </c>
      <c r="H229" s="1">
        <v>15</v>
      </c>
      <c r="I229" s="1" t="s">
        <v>17</v>
      </c>
      <c r="J229" s="1" t="s">
        <v>22</v>
      </c>
      <c r="K229" s="1" t="s">
        <v>32</v>
      </c>
      <c r="L229" s="1">
        <f t="shared" si="18"/>
        <v>1</v>
      </c>
      <c r="M229" s="1" t="str">
        <f t="shared" si="19"/>
        <v>Delayed</v>
      </c>
      <c r="N229" s="1" t="str">
        <f t="shared" si="20"/>
        <v>High</v>
      </c>
      <c r="O229" s="1">
        <f t="shared" si="21"/>
        <v>0</v>
      </c>
      <c r="P229" s="1" t="str">
        <f t="shared" si="22"/>
        <v>Mid Loan</v>
      </c>
      <c r="Q229" s="1">
        <f t="shared" si="23"/>
        <v>0</v>
      </c>
    </row>
    <row r="230" spans="1:17" x14ac:dyDescent="0.3">
      <c r="A230" s="1" t="s">
        <v>258</v>
      </c>
      <c r="B230" s="1">
        <v>3</v>
      </c>
      <c r="C230" s="1" t="s">
        <v>20</v>
      </c>
      <c r="D230" s="1">
        <v>25084</v>
      </c>
      <c r="E230" s="1">
        <v>1900</v>
      </c>
      <c r="F230" s="2">
        <v>45957</v>
      </c>
      <c r="G230" s="2">
        <v>45957</v>
      </c>
      <c r="H230" s="1">
        <v>0</v>
      </c>
      <c r="I230" s="1" t="s">
        <v>21</v>
      </c>
      <c r="J230" s="1" t="s">
        <v>14</v>
      </c>
      <c r="K230" s="1" t="s">
        <v>70</v>
      </c>
      <c r="L230" s="1">
        <f t="shared" si="18"/>
        <v>0</v>
      </c>
      <c r="M230" s="1" t="str">
        <f t="shared" si="19"/>
        <v>On Time</v>
      </c>
      <c r="N230" s="1" t="str">
        <f t="shared" si="20"/>
        <v>Low</v>
      </c>
      <c r="O230" s="1">
        <f t="shared" si="21"/>
        <v>1</v>
      </c>
      <c r="P230" s="1" t="str">
        <f t="shared" si="22"/>
        <v>Low Loan</v>
      </c>
      <c r="Q230" s="1">
        <f t="shared" si="23"/>
        <v>1</v>
      </c>
    </row>
    <row r="231" spans="1:17" x14ac:dyDescent="0.3">
      <c r="A231" s="1" t="s">
        <v>259</v>
      </c>
      <c r="B231" s="1">
        <v>2</v>
      </c>
      <c r="C231" s="1" t="s">
        <v>20</v>
      </c>
      <c r="D231" s="1">
        <v>33507</v>
      </c>
      <c r="E231" s="1">
        <v>3400</v>
      </c>
      <c r="F231" s="2">
        <v>45945</v>
      </c>
      <c r="G231" s="2">
        <v>45975</v>
      </c>
      <c r="H231" s="1">
        <v>30</v>
      </c>
      <c r="I231" s="1" t="s">
        <v>17</v>
      </c>
      <c r="J231" s="1" t="s">
        <v>22</v>
      </c>
      <c r="K231" s="1" t="s">
        <v>26</v>
      </c>
      <c r="L231" s="1">
        <f t="shared" si="18"/>
        <v>1</v>
      </c>
      <c r="M231" s="1" t="str">
        <f t="shared" si="19"/>
        <v>Delayed</v>
      </c>
      <c r="N231" s="1" t="str">
        <f t="shared" si="20"/>
        <v>High</v>
      </c>
      <c r="O231" s="1">
        <f t="shared" si="21"/>
        <v>0</v>
      </c>
      <c r="P231" s="1" t="str">
        <f t="shared" si="22"/>
        <v>Low Loan</v>
      </c>
      <c r="Q231" s="1">
        <f t="shared" si="23"/>
        <v>0</v>
      </c>
    </row>
    <row r="232" spans="1:17" x14ac:dyDescent="0.3">
      <c r="A232" s="1" t="s">
        <v>260</v>
      </c>
      <c r="B232" s="1">
        <v>3</v>
      </c>
      <c r="C232" s="1" t="s">
        <v>20</v>
      </c>
      <c r="D232" s="1">
        <v>92595</v>
      </c>
      <c r="E232" s="1">
        <v>15400</v>
      </c>
      <c r="F232" s="2">
        <v>45936</v>
      </c>
      <c r="G232" s="2">
        <v>45936</v>
      </c>
      <c r="H232" s="1">
        <v>0</v>
      </c>
      <c r="I232" s="1" t="s">
        <v>28</v>
      </c>
      <c r="J232" s="1" t="s">
        <v>14</v>
      </c>
      <c r="K232" s="1" t="s">
        <v>54</v>
      </c>
      <c r="L232" s="1">
        <f t="shared" si="18"/>
        <v>0</v>
      </c>
      <c r="M232" s="1" t="str">
        <f t="shared" si="19"/>
        <v>On Time</v>
      </c>
      <c r="N232" s="1" t="str">
        <f t="shared" si="20"/>
        <v>Low</v>
      </c>
      <c r="O232" s="1">
        <f t="shared" si="21"/>
        <v>1</v>
      </c>
      <c r="P232" s="1" t="str">
        <f t="shared" si="22"/>
        <v>Very High Loan</v>
      </c>
      <c r="Q232" s="1">
        <f t="shared" si="23"/>
        <v>1</v>
      </c>
    </row>
    <row r="233" spans="1:17" x14ac:dyDescent="0.3">
      <c r="A233" s="1" t="s">
        <v>261</v>
      </c>
      <c r="B233" s="1">
        <v>2</v>
      </c>
      <c r="C233" s="1" t="s">
        <v>12</v>
      </c>
      <c r="D233" s="1">
        <v>65539</v>
      </c>
      <c r="E233" s="1">
        <v>7300</v>
      </c>
      <c r="F233" s="2">
        <v>45945</v>
      </c>
      <c r="G233" s="2">
        <v>45948</v>
      </c>
      <c r="H233" s="1">
        <v>3</v>
      </c>
      <c r="I233" s="1" t="s">
        <v>21</v>
      </c>
      <c r="J233" s="1" t="s">
        <v>22</v>
      </c>
      <c r="K233" s="1" t="s">
        <v>32</v>
      </c>
      <c r="L233" s="1">
        <f t="shared" si="18"/>
        <v>1</v>
      </c>
      <c r="M233" s="1" t="str">
        <f t="shared" si="19"/>
        <v>Delayed</v>
      </c>
      <c r="N233" s="1" t="str">
        <f t="shared" si="20"/>
        <v>Medium</v>
      </c>
      <c r="O233" s="1">
        <f t="shared" si="21"/>
        <v>0</v>
      </c>
      <c r="P233" s="1" t="str">
        <f t="shared" si="22"/>
        <v>High Loan</v>
      </c>
      <c r="Q233" s="1">
        <f t="shared" si="23"/>
        <v>0</v>
      </c>
    </row>
    <row r="234" spans="1:17" x14ac:dyDescent="0.3">
      <c r="A234" s="1" t="s">
        <v>262</v>
      </c>
      <c r="B234" s="1">
        <v>2</v>
      </c>
      <c r="C234" s="1" t="s">
        <v>12</v>
      </c>
      <c r="D234" s="1">
        <v>27491</v>
      </c>
      <c r="E234" s="1">
        <v>3400</v>
      </c>
      <c r="F234" s="2">
        <v>45944</v>
      </c>
      <c r="G234" s="2">
        <v>45959</v>
      </c>
      <c r="H234" s="1">
        <v>15</v>
      </c>
      <c r="I234" s="1" t="s">
        <v>28</v>
      </c>
      <c r="J234" s="1" t="s">
        <v>22</v>
      </c>
      <c r="K234" s="1" t="s">
        <v>18</v>
      </c>
      <c r="L234" s="1">
        <f t="shared" si="18"/>
        <v>1</v>
      </c>
      <c r="M234" s="1" t="str">
        <f t="shared" si="19"/>
        <v>Delayed</v>
      </c>
      <c r="N234" s="1" t="str">
        <f t="shared" si="20"/>
        <v>High</v>
      </c>
      <c r="O234" s="1">
        <f t="shared" si="21"/>
        <v>0</v>
      </c>
      <c r="P234" s="1" t="str">
        <f t="shared" si="22"/>
        <v>Low Loan</v>
      </c>
      <c r="Q234" s="1">
        <f t="shared" si="23"/>
        <v>0</v>
      </c>
    </row>
    <row r="235" spans="1:17" x14ac:dyDescent="0.3">
      <c r="A235" s="1" t="s">
        <v>263</v>
      </c>
      <c r="B235" s="1">
        <v>2</v>
      </c>
      <c r="C235" s="1" t="s">
        <v>12</v>
      </c>
      <c r="D235" s="1">
        <v>70192</v>
      </c>
      <c r="E235" s="1">
        <v>5000</v>
      </c>
      <c r="F235" s="2">
        <v>45958</v>
      </c>
      <c r="G235" s="2">
        <v>45961</v>
      </c>
      <c r="H235" s="1">
        <v>3</v>
      </c>
      <c r="I235" s="1" t="s">
        <v>28</v>
      </c>
      <c r="J235" s="1" t="s">
        <v>22</v>
      </c>
      <c r="K235" s="1" t="s">
        <v>15</v>
      </c>
      <c r="L235" s="1">
        <f t="shared" si="18"/>
        <v>1</v>
      </c>
      <c r="M235" s="1" t="str">
        <f t="shared" si="19"/>
        <v>Delayed</v>
      </c>
      <c r="N235" s="1" t="str">
        <f t="shared" si="20"/>
        <v>Medium</v>
      </c>
      <c r="O235" s="1">
        <f t="shared" si="21"/>
        <v>0</v>
      </c>
      <c r="P235" s="1" t="str">
        <f t="shared" si="22"/>
        <v>High Loan</v>
      </c>
      <c r="Q235" s="1">
        <f t="shared" si="23"/>
        <v>0</v>
      </c>
    </row>
    <row r="236" spans="1:17" x14ac:dyDescent="0.3">
      <c r="A236" s="1" t="s">
        <v>264</v>
      </c>
      <c r="B236" s="1">
        <v>1</v>
      </c>
      <c r="C236" s="1" t="s">
        <v>20</v>
      </c>
      <c r="D236" s="1">
        <v>83888</v>
      </c>
      <c r="E236" s="1">
        <v>6500</v>
      </c>
      <c r="F236" s="2">
        <v>45941</v>
      </c>
      <c r="G236" s="2">
        <v>45941</v>
      </c>
      <c r="H236" s="1">
        <v>0</v>
      </c>
      <c r="I236" s="1" t="s">
        <v>17</v>
      </c>
      <c r="J236" s="1" t="s">
        <v>22</v>
      </c>
      <c r="K236" s="1" t="s">
        <v>44</v>
      </c>
      <c r="L236" s="1">
        <f t="shared" si="18"/>
        <v>0</v>
      </c>
      <c r="M236" s="1" t="str">
        <f t="shared" si="19"/>
        <v>On Time</v>
      </c>
      <c r="N236" s="1" t="str">
        <f t="shared" si="20"/>
        <v>Low</v>
      </c>
      <c r="O236" s="1">
        <f t="shared" si="21"/>
        <v>0</v>
      </c>
      <c r="P236" s="1" t="str">
        <f t="shared" si="22"/>
        <v>Very High Loan</v>
      </c>
      <c r="Q236" s="1">
        <f t="shared" si="23"/>
        <v>1</v>
      </c>
    </row>
    <row r="237" spans="1:17" x14ac:dyDescent="0.3">
      <c r="A237" s="1" t="s">
        <v>265</v>
      </c>
      <c r="B237" s="1">
        <v>3</v>
      </c>
      <c r="C237" s="1" t="s">
        <v>12</v>
      </c>
      <c r="D237" s="1">
        <v>93609</v>
      </c>
      <c r="E237" s="1">
        <v>15600</v>
      </c>
      <c r="F237" s="2">
        <v>45937</v>
      </c>
      <c r="G237" s="2">
        <v>45940</v>
      </c>
      <c r="H237" s="1">
        <v>3</v>
      </c>
      <c r="I237" s="1" t="s">
        <v>21</v>
      </c>
      <c r="J237" s="1" t="s">
        <v>22</v>
      </c>
      <c r="K237" s="1" t="s">
        <v>18</v>
      </c>
      <c r="L237" s="1">
        <f t="shared" si="18"/>
        <v>1</v>
      </c>
      <c r="M237" s="1" t="str">
        <f t="shared" si="19"/>
        <v>Delayed</v>
      </c>
      <c r="N237" s="1" t="str">
        <f t="shared" si="20"/>
        <v>Medium</v>
      </c>
      <c r="O237" s="1">
        <f t="shared" si="21"/>
        <v>0</v>
      </c>
      <c r="P237" s="1" t="str">
        <f t="shared" si="22"/>
        <v>Very High Loan</v>
      </c>
      <c r="Q237" s="1">
        <f t="shared" si="23"/>
        <v>0</v>
      </c>
    </row>
    <row r="238" spans="1:17" x14ac:dyDescent="0.3">
      <c r="A238" s="1" t="s">
        <v>266</v>
      </c>
      <c r="B238" s="1">
        <v>2</v>
      </c>
      <c r="C238" s="1" t="s">
        <v>20</v>
      </c>
      <c r="D238" s="1">
        <v>29077</v>
      </c>
      <c r="E238" s="1">
        <v>2600</v>
      </c>
      <c r="F238" s="2">
        <v>45939</v>
      </c>
      <c r="G238" s="2">
        <v>45939</v>
      </c>
      <c r="H238" s="1">
        <v>0</v>
      </c>
      <c r="I238" s="1" t="s">
        <v>17</v>
      </c>
      <c r="J238" s="1" t="s">
        <v>22</v>
      </c>
      <c r="K238" s="1" t="s">
        <v>34</v>
      </c>
      <c r="L238" s="1">
        <f t="shared" si="18"/>
        <v>0</v>
      </c>
      <c r="M238" s="1" t="str">
        <f t="shared" si="19"/>
        <v>On Time</v>
      </c>
      <c r="N238" s="1" t="str">
        <f t="shared" si="20"/>
        <v>Low</v>
      </c>
      <c r="O238" s="1">
        <f t="shared" si="21"/>
        <v>0</v>
      </c>
      <c r="P238" s="1" t="str">
        <f t="shared" si="22"/>
        <v>Low Loan</v>
      </c>
      <c r="Q238" s="1">
        <f t="shared" si="23"/>
        <v>1</v>
      </c>
    </row>
    <row r="239" spans="1:17" x14ac:dyDescent="0.3">
      <c r="A239" s="1" t="s">
        <v>267</v>
      </c>
      <c r="B239" s="1">
        <v>1</v>
      </c>
      <c r="C239" s="1" t="s">
        <v>12</v>
      </c>
      <c r="D239" s="1">
        <v>40953</v>
      </c>
      <c r="E239" s="1">
        <v>2900</v>
      </c>
      <c r="F239" s="2">
        <v>45956</v>
      </c>
      <c r="G239" s="2">
        <v>45986</v>
      </c>
      <c r="H239" s="1">
        <v>30</v>
      </c>
      <c r="I239" s="1" t="s">
        <v>13</v>
      </c>
      <c r="J239" s="1" t="s">
        <v>14</v>
      </c>
      <c r="K239" s="1" t="s">
        <v>54</v>
      </c>
      <c r="L239" s="1">
        <f t="shared" si="18"/>
        <v>1</v>
      </c>
      <c r="M239" s="1" t="str">
        <f t="shared" si="19"/>
        <v>Delayed</v>
      </c>
      <c r="N239" s="1" t="str">
        <f t="shared" si="20"/>
        <v>High</v>
      </c>
      <c r="O239" s="1">
        <f t="shared" si="21"/>
        <v>1</v>
      </c>
      <c r="P239" s="1" t="str">
        <f t="shared" si="22"/>
        <v>Low Loan</v>
      </c>
      <c r="Q239" s="1">
        <f t="shared" si="23"/>
        <v>0</v>
      </c>
    </row>
    <row r="240" spans="1:17" x14ac:dyDescent="0.3">
      <c r="A240" s="1" t="s">
        <v>268</v>
      </c>
      <c r="B240" s="1">
        <v>2</v>
      </c>
      <c r="C240" s="1" t="s">
        <v>20</v>
      </c>
      <c r="D240" s="1">
        <v>96919</v>
      </c>
      <c r="E240" s="1">
        <v>8100</v>
      </c>
      <c r="F240" s="2">
        <v>45946</v>
      </c>
      <c r="G240" s="2">
        <v>45946</v>
      </c>
      <c r="H240" s="1">
        <v>0</v>
      </c>
      <c r="I240" s="1" t="s">
        <v>21</v>
      </c>
      <c r="J240" s="1" t="s">
        <v>14</v>
      </c>
      <c r="K240" s="1" t="s">
        <v>56</v>
      </c>
      <c r="L240" s="1">
        <f t="shared" si="18"/>
        <v>0</v>
      </c>
      <c r="M240" s="1" t="str">
        <f t="shared" si="19"/>
        <v>On Time</v>
      </c>
      <c r="N240" s="1" t="str">
        <f t="shared" si="20"/>
        <v>Low</v>
      </c>
      <c r="O240" s="1">
        <f t="shared" si="21"/>
        <v>1</v>
      </c>
      <c r="P240" s="1" t="str">
        <f t="shared" si="22"/>
        <v>Very High Loan</v>
      </c>
      <c r="Q240" s="1">
        <f t="shared" si="23"/>
        <v>1</v>
      </c>
    </row>
    <row r="241" spans="1:17" x14ac:dyDescent="0.3">
      <c r="A241" s="1" t="s">
        <v>269</v>
      </c>
      <c r="B241" s="1">
        <v>1</v>
      </c>
      <c r="C241" s="1" t="s">
        <v>20</v>
      </c>
      <c r="D241" s="1">
        <v>87889</v>
      </c>
      <c r="E241" s="1">
        <v>9800</v>
      </c>
      <c r="F241" s="2">
        <v>45935</v>
      </c>
      <c r="G241" s="2">
        <v>45935</v>
      </c>
      <c r="H241" s="1">
        <v>0</v>
      </c>
      <c r="I241" s="1" t="s">
        <v>17</v>
      </c>
      <c r="J241" s="1" t="s">
        <v>14</v>
      </c>
      <c r="K241" s="1" t="s">
        <v>23</v>
      </c>
      <c r="L241" s="1">
        <f t="shared" si="18"/>
        <v>0</v>
      </c>
      <c r="M241" s="1" t="str">
        <f t="shared" si="19"/>
        <v>On Time</v>
      </c>
      <c r="N241" s="1" t="str">
        <f t="shared" si="20"/>
        <v>Low</v>
      </c>
      <c r="O241" s="1">
        <f t="shared" si="21"/>
        <v>1</v>
      </c>
      <c r="P241" s="1" t="str">
        <f t="shared" si="22"/>
        <v>Very High Loan</v>
      </c>
      <c r="Q241" s="1">
        <f t="shared" si="23"/>
        <v>1</v>
      </c>
    </row>
    <row r="242" spans="1:17" x14ac:dyDescent="0.3">
      <c r="A242" s="1" t="s">
        <v>270</v>
      </c>
      <c r="B242" s="1">
        <v>3</v>
      </c>
      <c r="C242" s="1" t="s">
        <v>20</v>
      </c>
      <c r="D242" s="1">
        <v>43821</v>
      </c>
      <c r="E242" s="1">
        <v>2400</v>
      </c>
      <c r="F242" s="2">
        <v>45955</v>
      </c>
      <c r="G242" s="2">
        <v>45962</v>
      </c>
      <c r="H242" s="1">
        <v>7</v>
      </c>
      <c r="I242" s="1" t="s">
        <v>28</v>
      </c>
      <c r="J242" s="1" t="s">
        <v>22</v>
      </c>
      <c r="K242" s="1" t="s">
        <v>44</v>
      </c>
      <c r="L242" s="1">
        <f t="shared" si="18"/>
        <v>1</v>
      </c>
      <c r="M242" s="1" t="str">
        <f t="shared" si="19"/>
        <v>Delayed</v>
      </c>
      <c r="N242" s="1" t="str">
        <f t="shared" si="20"/>
        <v>Medium</v>
      </c>
      <c r="O242" s="1">
        <f t="shared" si="21"/>
        <v>0</v>
      </c>
      <c r="P242" s="1" t="str">
        <f t="shared" si="22"/>
        <v>Mid Loan</v>
      </c>
      <c r="Q242" s="1">
        <f t="shared" si="23"/>
        <v>0</v>
      </c>
    </row>
    <row r="243" spans="1:17" x14ac:dyDescent="0.3">
      <c r="A243" s="1" t="s">
        <v>271</v>
      </c>
      <c r="B243" s="1">
        <v>3</v>
      </c>
      <c r="C243" s="1" t="s">
        <v>20</v>
      </c>
      <c r="D243" s="1">
        <v>57567</v>
      </c>
      <c r="E243" s="1">
        <v>2600</v>
      </c>
      <c r="F243" s="2">
        <v>45950</v>
      </c>
      <c r="G243" s="2">
        <v>45950</v>
      </c>
      <c r="H243" s="1">
        <v>0</v>
      </c>
      <c r="I243" s="1" t="s">
        <v>21</v>
      </c>
      <c r="J243" s="1" t="s">
        <v>22</v>
      </c>
      <c r="K243" s="1" t="s">
        <v>15</v>
      </c>
      <c r="L243" s="1">
        <f t="shared" si="18"/>
        <v>0</v>
      </c>
      <c r="M243" s="1" t="str">
        <f t="shared" si="19"/>
        <v>On Time</v>
      </c>
      <c r="N243" s="1" t="str">
        <f t="shared" si="20"/>
        <v>Low</v>
      </c>
      <c r="O243" s="1">
        <f t="shared" si="21"/>
        <v>0</v>
      </c>
      <c r="P243" s="1" t="str">
        <f t="shared" si="22"/>
        <v>Mid Loan</v>
      </c>
      <c r="Q243" s="1">
        <f t="shared" si="23"/>
        <v>1</v>
      </c>
    </row>
    <row r="244" spans="1:17" x14ac:dyDescent="0.3">
      <c r="A244" s="1" t="s">
        <v>272</v>
      </c>
      <c r="B244" s="1">
        <v>3</v>
      </c>
      <c r="C244" s="1" t="s">
        <v>12</v>
      </c>
      <c r="D244" s="1">
        <v>44860</v>
      </c>
      <c r="E244" s="1">
        <v>6400</v>
      </c>
      <c r="F244" s="2">
        <v>45959</v>
      </c>
      <c r="G244" s="2">
        <v>45962</v>
      </c>
      <c r="H244" s="1">
        <v>3</v>
      </c>
      <c r="I244" s="1" t="s">
        <v>17</v>
      </c>
      <c r="J244" s="1" t="s">
        <v>22</v>
      </c>
      <c r="K244" s="1" t="s">
        <v>26</v>
      </c>
      <c r="L244" s="1">
        <f t="shared" si="18"/>
        <v>1</v>
      </c>
      <c r="M244" s="1" t="str">
        <f t="shared" si="19"/>
        <v>Delayed</v>
      </c>
      <c r="N244" s="1" t="str">
        <f t="shared" si="20"/>
        <v>Medium</v>
      </c>
      <c r="O244" s="1">
        <f t="shared" si="21"/>
        <v>0</v>
      </c>
      <c r="P244" s="1" t="str">
        <f t="shared" si="22"/>
        <v>Mid Loan</v>
      </c>
      <c r="Q244" s="1">
        <f t="shared" si="23"/>
        <v>0</v>
      </c>
    </row>
    <row r="245" spans="1:17" x14ac:dyDescent="0.3">
      <c r="A245" s="1" t="s">
        <v>273</v>
      </c>
      <c r="B245" s="1">
        <v>2</v>
      </c>
      <c r="C245" s="1" t="s">
        <v>12</v>
      </c>
      <c r="D245" s="1">
        <v>41195</v>
      </c>
      <c r="E245" s="1">
        <v>4100</v>
      </c>
      <c r="F245" s="2">
        <v>45940</v>
      </c>
      <c r="G245" s="2">
        <v>45943</v>
      </c>
      <c r="H245" s="1">
        <v>3</v>
      </c>
      <c r="I245" s="1" t="s">
        <v>21</v>
      </c>
      <c r="J245" s="1" t="s">
        <v>22</v>
      </c>
      <c r="K245" s="1" t="s">
        <v>18</v>
      </c>
      <c r="L245" s="1">
        <f t="shared" si="18"/>
        <v>1</v>
      </c>
      <c r="M245" s="1" t="str">
        <f t="shared" si="19"/>
        <v>Delayed</v>
      </c>
      <c r="N245" s="1" t="str">
        <f t="shared" si="20"/>
        <v>Medium</v>
      </c>
      <c r="O245" s="1">
        <f t="shared" si="21"/>
        <v>0</v>
      </c>
      <c r="P245" s="1" t="str">
        <f t="shared" si="22"/>
        <v>Low Loan</v>
      </c>
      <c r="Q245" s="1">
        <f t="shared" si="23"/>
        <v>0</v>
      </c>
    </row>
    <row r="246" spans="1:17" x14ac:dyDescent="0.3">
      <c r="A246" s="1" t="s">
        <v>274</v>
      </c>
      <c r="B246" s="1">
        <v>1</v>
      </c>
      <c r="C246" s="1" t="s">
        <v>20</v>
      </c>
      <c r="D246" s="1">
        <v>97475</v>
      </c>
      <c r="E246" s="1">
        <v>5700</v>
      </c>
      <c r="F246" s="2">
        <v>45948</v>
      </c>
      <c r="G246" s="2">
        <v>45978</v>
      </c>
      <c r="H246" s="1">
        <v>30</v>
      </c>
      <c r="I246" s="1" t="s">
        <v>21</v>
      </c>
      <c r="J246" s="1" t="s">
        <v>22</v>
      </c>
      <c r="K246" s="1" t="s">
        <v>70</v>
      </c>
      <c r="L246" s="1">
        <f t="shared" si="18"/>
        <v>1</v>
      </c>
      <c r="M246" s="1" t="str">
        <f t="shared" si="19"/>
        <v>Delayed</v>
      </c>
      <c r="N246" s="1" t="str">
        <f t="shared" si="20"/>
        <v>High</v>
      </c>
      <c r="O246" s="1">
        <f t="shared" si="21"/>
        <v>0</v>
      </c>
      <c r="P246" s="1" t="str">
        <f t="shared" si="22"/>
        <v>Very High Loan</v>
      </c>
      <c r="Q246" s="1">
        <f t="shared" si="23"/>
        <v>0</v>
      </c>
    </row>
    <row r="247" spans="1:17" x14ac:dyDescent="0.3">
      <c r="A247" s="1" t="s">
        <v>275</v>
      </c>
      <c r="B247" s="1">
        <v>3</v>
      </c>
      <c r="C247" s="1" t="s">
        <v>12</v>
      </c>
      <c r="D247" s="1">
        <v>41427</v>
      </c>
      <c r="E247" s="1">
        <v>3200</v>
      </c>
      <c r="F247" s="2">
        <v>45933</v>
      </c>
      <c r="G247" s="2">
        <v>45936</v>
      </c>
      <c r="H247" s="1">
        <v>3</v>
      </c>
      <c r="I247" s="1" t="s">
        <v>28</v>
      </c>
      <c r="J247" s="1" t="s">
        <v>22</v>
      </c>
      <c r="K247" s="1" t="s">
        <v>15</v>
      </c>
      <c r="L247" s="1">
        <f t="shared" si="18"/>
        <v>1</v>
      </c>
      <c r="M247" s="1" t="str">
        <f t="shared" si="19"/>
        <v>Delayed</v>
      </c>
      <c r="N247" s="1" t="str">
        <f t="shared" si="20"/>
        <v>Medium</v>
      </c>
      <c r="O247" s="1">
        <f t="shared" si="21"/>
        <v>0</v>
      </c>
      <c r="P247" s="1" t="str">
        <f t="shared" si="22"/>
        <v>Low Loan</v>
      </c>
      <c r="Q247" s="1">
        <f t="shared" si="23"/>
        <v>0</v>
      </c>
    </row>
    <row r="248" spans="1:17" x14ac:dyDescent="0.3">
      <c r="A248" s="1" t="s">
        <v>276</v>
      </c>
      <c r="B248" s="1">
        <v>2</v>
      </c>
      <c r="C248" s="1" t="s">
        <v>20</v>
      </c>
      <c r="D248" s="1">
        <v>47083</v>
      </c>
      <c r="E248" s="1">
        <v>4300</v>
      </c>
      <c r="F248" s="2">
        <v>45943</v>
      </c>
      <c r="G248" s="2">
        <v>45943</v>
      </c>
      <c r="H248" s="1">
        <v>0</v>
      </c>
      <c r="I248" s="1" t="s">
        <v>21</v>
      </c>
      <c r="J248" s="1" t="s">
        <v>22</v>
      </c>
      <c r="K248" s="1" t="s">
        <v>54</v>
      </c>
      <c r="L248" s="1">
        <f t="shared" si="18"/>
        <v>0</v>
      </c>
      <c r="M248" s="1" t="str">
        <f t="shared" si="19"/>
        <v>On Time</v>
      </c>
      <c r="N248" s="1" t="str">
        <f t="shared" si="20"/>
        <v>Low</v>
      </c>
      <c r="O248" s="1">
        <f t="shared" si="21"/>
        <v>0</v>
      </c>
      <c r="P248" s="1" t="str">
        <f t="shared" si="22"/>
        <v>Mid Loan</v>
      </c>
      <c r="Q248" s="1">
        <f t="shared" si="23"/>
        <v>1</v>
      </c>
    </row>
    <row r="249" spans="1:17" x14ac:dyDescent="0.3">
      <c r="A249" s="1" t="s">
        <v>277</v>
      </c>
      <c r="B249" s="1">
        <v>3</v>
      </c>
      <c r="C249" s="1" t="s">
        <v>12</v>
      </c>
      <c r="D249" s="1">
        <v>77372</v>
      </c>
      <c r="E249" s="1">
        <v>6000</v>
      </c>
      <c r="F249" s="2">
        <v>45941</v>
      </c>
      <c r="G249" s="2">
        <v>45941</v>
      </c>
      <c r="H249" s="1">
        <v>0</v>
      </c>
      <c r="I249" s="1" t="s">
        <v>13</v>
      </c>
      <c r="J249" s="1" t="s">
        <v>22</v>
      </c>
      <c r="K249" s="1" t="s">
        <v>26</v>
      </c>
      <c r="L249" s="1">
        <f t="shared" si="18"/>
        <v>0</v>
      </c>
      <c r="M249" s="1" t="str">
        <f t="shared" si="19"/>
        <v>On Time</v>
      </c>
      <c r="N249" s="1" t="str">
        <f t="shared" si="20"/>
        <v>Low</v>
      </c>
      <c r="O249" s="1">
        <f t="shared" si="21"/>
        <v>0</v>
      </c>
      <c r="P249" s="1" t="str">
        <f t="shared" si="22"/>
        <v>High Loan</v>
      </c>
      <c r="Q249" s="1">
        <f t="shared" si="23"/>
        <v>1</v>
      </c>
    </row>
    <row r="250" spans="1:17" x14ac:dyDescent="0.3">
      <c r="A250" s="1" t="s">
        <v>278</v>
      </c>
      <c r="B250" s="1">
        <v>3</v>
      </c>
      <c r="C250" s="1" t="s">
        <v>30</v>
      </c>
      <c r="D250" s="1">
        <v>64064</v>
      </c>
      <c r="E250" s="1">
        <v>2800</v>
      </c>
      <c r="F250" s="2">
        <v>45947</v>
      </c>
      <c r="G250" s="2">
        <v>45947</v>
      </c>
      <c r="H250" s="1">
        <v>0</v>
      </c>
      <c r="I250" s="1" t="s">
        <v>13</v>
      </c>
      <c r="J250" s="1" t="s">
        <v>22</v>
      </c>
      <c r="K250" s="1" t="s">
        <v>54</v>
      </c>
      <c r="L250" s="1">
        <f t="shared" si="18"/>
        <v>0</v>
      </c>
      <c r="M250" s="1" t="str">
        <f t="shared" si="19"/>
        <v>On Time</v>
      </c>
      <c r="N250" s="1" t="str">
        <f t="shared" si="20"/>
        <v>Low</v>
      </c>
      <c r="O250" s="1">
        <f t="shared" si="21"/>
        <v>0</v>
      </c>
      <c r="P250" s="1" t="str">
        <f t="shared" si="22"/>
        <v>High Loan</v>
      </c>
      <c r="Q250" s="1">
        <f t="shared" si="23"/>
        <v>1</v>
      </c>
    </row>
    <row r="251" spans="1:17" x14ac:dyDescent="0.3">
      <c r="A251" s="1" t="s">
        <v>279</v>
      </c>
      <c r="B251" s="1">
        <v>3</v>
      </c>
      <c r="C251" s="1" t="s">
        <v>12</v>
      </c>
      <c r="D251" s="1">
        <v>27813</v>
      </c>
      <c r="E251" s="1">
        <v>3500</v>
      </c>
      <c r="F251" s="2">
        <v>45960</v>
      </c>
      <c r="G251" s="2">
        <v>45960</v>
      </c>
      <c r="H251" s="1">
        <v>0</v>
      </c>
      <c r="I251" s="1" t="s">
        <v>17</v>
      </c>
      <c r="J251" s="1" t="s">
        <v>22</v>
      </c>
      <c r="K251" s="1" t="s">
        <v>15</v>
      </c>
      <c r="L251" s="1">
        <f t="shared" si="18"/>
        <v>0</v>
      </c>
      <c r="M251" s="1" t="str">
        <f t="shared" si="19"/>
        <v>On Time</v>
      </c>
      <c r="N251" s="1" t="str">
        <f t="shared" si="20"/>
        <v>Low</v>
      </c>
      <c r="O251" s="1">
        <f t="shared" si="21"/>
        <v>0</v>
      </c>
      <c r="P251" s="1" t="str">
        <f t="shared" si="22"/>
        <v>Low Loan</v>
      </c>
      <c r="Q251" s="1">
        <f t="shared" si="23"/>
        <v>1</v>
      </c>
    </row>
    <row r="252" spans="1:17" x14ac:dyDescent="0.3">
      <c r="A252" s="1" t="s">
        <v>280</v>
      </c>
      <c r="B252" s="1">
        <v>2</v>
      </c>
      <c r="C252" s="1" t="s">
        <v>20</v>
      </c>
      <c r="D252" s="1">
        <v>51598</v>
      </c>
      <c r="E252" s="1">
        <v>3000</v>
      </c>
      <c r="F252" s="2">
        <v>45960</v>
      </c>
      <c r="G252" s="2">
        <v>45960</v>
      </c>
      <c r="H252" s="1">
        <v>0</v>
      </c>
      <c r="I252" s="1" t="s">
        <v>17</v>
      </c>
      <c r="J252" s="1" t="s">
        <v>22</v>
      </c>
      <c r="K252" s="1" t="s">
        <v>54</v>
      </c>
      <c r="L252" s="1">
        <f t="shared" si="18"/>
        <v>0</v>
      </c>
      <c r="M252" s="1" t="str">
        <f t="shared" si="19"/>
        <v>On Time</v>
      </c>
      <c r="N252" s="1" t="str">
        <f t="shared" si="20"/>
        <v>Low</v>
      </c>
      <c r="O252" s="1">
        <f t="shared" si="21"/>
        <v>0</v>
      </c>
      <c r="P252" s="1" t="str">
        <f t="shared" si="22"/>
        <v>Mid Loan</v>
      </c>
      <c r="Q252" s="1">
        <f t="shared" si="23"/>
        <v>1</v>
      </c>
    </row>
    <row r="253" spans="1:17" x14ac:dyDescent="0.3">
      <c r="A253" s="1" t="s">
        <v>281</v>
      </c>
      <c r="B253" s="1">
        <v>2</v>
      </c>
      <c r="C253" s="1" t="s">
        <v>30</v>
      </c>
      <c r="D253" s="1">
        <v>47082</v>
      </c>
      <c r="E253" s="1">
        <v>5900</v>
      </c>
      <c r="F253" s="2">
        <v>45952</v>
      </c>
      <c r="G253" s="2">
        <v>45955</v>
      </c>
      <c r="H253" s="1">
        <v>3</v>
      </c>
      <c r="I253" s="1" t="s">
        <v>21</v>
      </c>
      <c r="J253" s="1" t="s">
        <v>14</v>
      </c>
      <c r="K253" s="1" t="s">
        <v>44</v>
      </c>
      <c r="L253" s="1">
        <f t="shared" si="18"/>
        <v>1</v>
      </c>
      <c r="M253" s="1" t="str">
        <f t="shared" si="19"/>
        <v>Delayed</v>
      </c>
      <c r="N253" s="1" t="str">
        <f t="shared" si="20"/>
        <v>Medium</v>
      </c>
      <c r="O253" s="1">
        <f t="shared" si="21"/>
        <v>1</v>
      </c>
      <c r="P253" s="1" t="str">
        <f t="shared" si="22"/>
        <v>Mid Loan</v>
      </c>
      <c r="Q253" s="1">
        <f t="shared" si="23"/>
        <v>0</v>
      </c>
    </row>
    <row r="254" spans="1:17" x14ac:dyDescent="0.3">
      <c r="A254" s="1" t="s">
        <v>282</v>
      </c>
      <c r="B254" s="1">
        <v>3</v>
      </c>
      <c r="C254" s="1" t="s">
        <v>12</v>
      </c>
      <c r="D254" s="1">
        <v>49241</v>
      </c>
      <c r="E254" s="1">
        <v>4500</v>
      </c>
      <c r="F254" s="2">
        <v>45943</v>
      </c>
      <c r="G254" s="2">
        <v>45950</v>
      </c>
      <c r="H254" s="1">
        <v>7</v>
      </c>
      <c r="I254" s="1" t="s">
        <v>21</v>
      </c>
      <c r="J254" s="1" t="s">
        <v>22</v>
      </c>
      <c r="K254" s="1" t="s">
        <v>56</v>
      </c>
      <c r="L254" s="1">
        <f t="shared" si="18"/>
        <v>1</v>
      </c>
      <c r="M254" s="1" t="str">
        <f t="shared" si="19"/>
        <v>Delayed</v>
      </c>
      <c r="N254" s="1" t="str">
        <f t="shared" si="20"/>
        <v>Medium</v>
      </c>
      <c r="O254" s="1">
        <f t="shared" si="21"/>
        <v>0</v>
      </c>
      <c r="P254" s="1" t="str">
        <f t="shared" si="22"/>
        <v>Mid Loan</v>
      </c>
      <c r="Q254" s="1">
        <f t="shared" si="23"/>
        <v>0</v>
      </c>
    </row>
    <row r="255" spans="1:17" x14ac:dyDescent="0.3">
      <c r="A255" s="1" t="s">
        <v>283</v>
      </c>
      <c r="B255" s="1">
        <v>2</v>
      </c>
      <c r="C255" s="1" t="s">
        <v>20</v>
      </c>
      <c r="D255" s="1">
        <v>64569</v>
      </c>
      <c r="E255" s="1">
        <v>9200</v>
      </c>
      <c r="F255" s="2">
        <v>45936</v>
      </c>
      <c r="G255" s="2">
        <v>45936</v>
      </c>
      <c r="H255" s="1">
        <v>0</v>
      </c>
      <c r="I255" s="1" t="s">
        <v>28</v>
      </c>
      <c r="J255" s="1" t="s">
        <v>22</v>
      </c>
      <c r="K255" s="1" t="s">
        <v>23</v>
      </c>
      <c r="L255" s="1">
        <f t="shared" si="18"/>
        <v>0</v>
      </c>
      <c r="M255" s="1" t="str">
        <f t="shared" si="19"/>
        <v>On Time</v>
      </c>
      <c r="N255" s="1" t="str">
        <f t="shared" si="20"/>
        <v>Low</v>
      </c>
      <c r="O255" s="1">
        <f t="shared" si="21"/>
        <v>0</v>
      </c>
      <c r="P255" s="1" t="str">
        <f t="shared" si="22"/>
        <v>High Loan</v>
      </c>
      <c r="Q255" s="1">
        <f t="shared" si="23"/>
        <v>1</v>
      </c>
    </row>
    <row r="256" spans="1:17" x14ac:dyDescent="0.3">
      <c r="A256" s="1" t="s">
        <v>284</v>
      </c>
      <c r="B256" s="1">
        <v>1</v>
      </c>
      <c r="C256" s="1" t="s">
        <v>20</v>
      </c>
      <c r="D256" s="1">
        <v>31745</v>
      </c>
      <c r="E256" s="1">
        <v>1900</v>
      </c>
      <c r="F256" s="2">
        <v>45947</v>
      </c>
      <c r="G256" s="2">
        <v>45962</v>
      </c>
      <c r="H256" s="1">
        <v>15</v>
      </c>
      <c r="I256" s="1" t="s">
        <v>21</v>
      </c>
      <c r="J256" s="1" t="s">
        <v>14</v>
      </c>
      <c r="K256" s="1" t="s">
        <v>26</v>
      </c>
      <c r="L256" s="1">
        <f t="shared" si="18"/>
        <v>1</v>
      </c>
      <c r="M256" s="1" t="str">
        <f t="shared" si="19"/>
        <v>Delayed</v>
      </c>
      <c r="N256" s="1" t="str">
        <f t="shared" si="20"/>
        <v>High</v>
      </c>
      <c r="O256" s="1">
        <f t="shared" si="21"/>
        <v>1</v>
      </c>
      <c r="P256" s="1" t="str">
        <f t="shared" si="22"/>
        <v>Low Loan</v>
      </c>
      <c r="Q256" s="1">
        <f t="shared" si="23"/>
        <v>0</v>
      </c>
    </row>
    <row r="257" spans="1:17" x14ac:dyDescent="0.3">
      <c r="A257" s="1" t="s">
        <v>285</v>
      </c>
      <c r="B257" s="1">
        <v>2</v>
      </c>
      <c r="C257" s="1" t="s">
        <v>12</v>
      </c>
      <c r="D257" s="1">
        <v>46029</v>
      </c>
      <c r="E257" s="1">
        <v>6600</v>
      </c>
      <c r="F257" s="2">
        <v>45957</v>
      </c>
      <c r="G257" s="2">
        <v>46017</v>
      </c>
      <c r="H257" s="1">
        <v>60</v>
      </c>
      <c r="I257" s="1" t="s">
        <v>21</v>
      </c>
      <c r="J257" s="1" t="s">
        <v>22</v>
      </c>
      <c r="K257" s="1" t="s">
        <v>54</v>
      </c>
      <c r="L257" s="1">
        <f t="shared" si="18"/>
        <v>1</v>
      </c>
      <c r="M257" s="1" t="str">
        <f t="shared" si="19"/>
        <v>Delayed</v>
      </c>
      <c r="N257" s="1" t="str">
        <f t="shared" si="20"/>
        <v>High</v>
      </c>
      <c r="O257" s="1">
        <f t="shared" si="21"/>
        <v>0</v>
      </c>
      <c r="P257" s="1" t="str">
        <f t="shared" si="22"/>
        <v>Mid Loan</v>
      </c>
      <c r="Q257" s="1">
        <f t="shared" si="23"/>
        <v>0</v>
      </c>
    </row>
    <row r="258" spans="1:17" x14ac:dyDescent="0.3">
      <c r="A258" s="1" t="s">
        <v>286</v>
      </c>
      <c r="B258" s="1">
        <v>3</v>
      </c>
      <c r="C258" s="1" t="s">
        <v>12</v>
      </c>
      <c r="D258" s="1">
        <v>33025</v>
      </c>
      <c r="E258" s="1">
        <v>3000</v>
      </c>
      <c r="F258" s="2">
        <v>45943</v>
      </c>
      <c r="G258" s="2">
        <v>45958</v>
      </c>
      <c r="H258" s="1">
        <v>15</v>
      </c>
      <c r="I258" s="1" t="s">
        <v>13</v>
      </c>
      <c r="J258" s="1" t="s">
        <v>14</v>
      </c>
      <c r="K258" s="1" t="s">
        <v>26</v>
      </c>
      <c r="L258" s="1">
        <f t="shared" si="18"/>
        <v>1</v>
      </c>
      <c r="M258" s="1" t="str">
        <f t="shared" si="19"/>
        <v>Delayed</v>
      </c>
      <c r="N258" s="1" t="str">
        <f t="shared" si="20"/>
        <v>High</v>
      </c>
      <c r="O258" s="1">
        <f t="shared" si="21"/>
        <v>1</v>
      </c>
      <c r="P258" s="1" t="str">
        <f t="shared" si="22"/>
        <v>Low Loan</v>
      </c>
      <c r="Q258" s="1">
        <f t="shared" si="23"/>
        <v>0</v>
      </c>
    </row>
    <row r="259" spans="1:17" x14ac:dyDescent="0.3">
      <c r="A259" s="1" t="s">
        <v>287</v>
      </c>
      <c r="B259" s="1">
        <v>2</v>
      </c>
      <c r="C259" s="1" t="s">
        <v>12</v>
      </c>
      <c r="D259" s="1">
        <v>34288</v>
      </c>
      <c r="E259" s="1">
        <v>1600</v>
      </c>
      <c r="F259" s="2">
        <v>45949</v>
      </c>
      <c r="G259" s="2">
        <v>45952</v>
      </c>
      <c r="H259" s="1">
        <v>3</v>
      </c>
      <c r="I259" s="1" t="s">
        <v>21</v>
      </c>
      <c r="J259" s="1" t="s">
        <v>22</v>
      </c>
      <c r="K259" s="1" t="s">
        <v>34</v>
      </c>
      <c r="L259" s="1">
        <f t="shared" ref="L259:L322" si="24">IF(H259&gt;0,1,0)</f>
        <v>1</v>
      </c>
      <c r="M259" s="1" t="str">
        <f t="shared" ref="M259:M322" si="25">IF(H259=0,"On Time","Delayed")</f>
        <v>Delayed</v>
      </c>
      <c r="N259" s="1" t="str">
        <f t="shared" ref="N259:N322" si="26">_xlfn.IFS(H259=0,"Low",H259&lt;=14,"Medium",H259&gt;14,"High")</f>
        <v>Medium</v>
      </c>
      <c r="O259" s="1">
        <f t="shared" ref="O259:O322" si="27">IF(J259="Yes",1,0)</f>
        <v>0</v>
      </c>
      <c r="P259" s="1" t="str">
        <f t="shared" ref="P259:P322" si="28">_xlfn.IFS(
 D259&lt;=$V$16,"Low Loan",
 D259&lt;=$V$17,"Mid Loan",
 D259&lt;=$V$18,"High Loan",
 TRUE,"Very High Loan"
)</f>
        <v>Low Loan</v>
      </c>
      <c r="Q259" s="1">
        <f t="shared" ref="Q259:Q322" si="29">IF(H259=0,1,0)</f>
        <v>0</v>
      </c>
    </row>
    <row r="260" spans="1:17" x14ac:dyDescent="0.3">
      <c r="A260" s="1" t="s">
        <v>288</v>
      </c>
      <c r="B260" s="1">
        <v>2</v>
      </c>
      <c r="C260" s="1" t="s">
        <v>12</v>
      </c>
      <c r="D260" s="1">
        <v>26540</v>
      </c>
      <c r="E260" s="1">
        <v>3300</v>
      </c>
      <c r="F260" s="2">
        <v>45951</v>
      </c>
      <c r="G260" s="2">
        <v>45951</v>
      </c>
      <c r="H260" s="1">
        <v>0</v>
      </c>
      <c r="I260" s="1" t="s">
        <v>21</v>
      </c>
      <c r="J260" s="1" t="s">
        <v>14</v>
      </c>
      <c r="K260" s="1" t="s">
        <v>70</v>
      </c>
      <c r="L260" s="1">
        <f t="shared" si="24"/>
        <v>0</v>
      </c>
      <c r="M260" s="1" t="str">
        <f t="shared" si="25"/>
        <v>On Time</v>
      </c>
      <c r="N260" s="1" t="str">
        <f t="shared" si="26"/>
        <v>Low</v>
      </c>
      <c r="O260" s="1">
        <f t="shared" si="27"/>
        <v>1</v>
      </c>
      <c r="P260" s="1" t="str">
        <f t="shared" si="28"/>
        <v>Low Loan</v>
      </c>
      <c r="Q260" s="1">
        <f t="shared" si="29"/>
        <v>1</v>
      </c>
    </row>
    <row r="261" spans="1:17" x14ac:dyDescent="0.3">
      <c r="A261" s="1" t="s">
        <v>289</v>
      </c>
      <c r="B261" s="1">
        <v>1</v>
      </c>
      <c r="C261" s="1" t="s">
        <v>12</v>
      </c>
      <c r="D261" s="1">
        <v>88878</v>
      </c>
      <c r="E261" s="1">
        <v>12700</v>
      </c>
      <c r="F261" s="2">
        <v>45949</v>
      </c>
      <c r="G261" s="2">
        <v>45949</v>
      </c>
      <c r="H261" s="1">
        <v>0</v>
      </c>
      <c r="I261" s="1" t="s">
        <v>21</v>
      </c>
      <c r="J261" s="1" t="s">
        <v>22</v>
      </c>
      <c r="K261" s="1" t="s">
        <v>15</v>
      </c>
      <c r="L261" s="1">
        <f t="shared" si="24"/>
        <v>0</v>
      </c>
      <c r="M261" s="1" t="str">
        <f t="shared" si="25"/>
        <v>On Time</v>
      </c>
      <c r="N261" s="1" t="str">
        <f t="shared" si="26"/>
        <v>Low</v>
      </c>
      <c r="O261" s="1">
        <f t="shared" si="27"/>
        <v>0</v>
      </c>
      <c r="P261" s="1" t="str">
        <f t="shared" si="28"/>
        <v>Very High Loan</v>
      </c>
      <c r="Q261" s="1">
        <f t="shared" si="29"/>
        <v>1</v>
      </c>
    </row>
    <row r="262" spans="1:17" x14ac:dyDescent="0.3">
      <c r="A262" s="1" t="s">
        <v>290</v>
      </c>
      <c r="B262" s="1">
        <v>2</v>
      </c>
      <c r="C262" s="1" t="s">
        <v>20</v>
      </c>
      <c r="D262" s="1">
        <v>61846</v>
      </c>
      <c r="E262" s="1">
        <v>4800</v>
      </c>
      <c r="F262" s="2">
        <v>45940</v>
      </c>
      <c r="G262" s="2">
        <v>45940</v>
      </c>
      <c r="H262" s="1">
        <v>0</v>
      </c>
      <c r="I262" s="1" t="s">
        <v>17</v>
      </c>
      <c r="J262" s="1" t="s">
        <v>22</v>
      </c>
      <c r="K262" s="1" t="s">
        <v>44</v>
      </c>
      <c r="L262" s="1">
        <f t="shared" si="24"/>
        <v>0</v>
      </c>
      <c r="M262" s="1" t="str">
        <f t="shared" si="25"/>
        <v>On Time</v>
      </c>
      <c r="N262" s="1" t="str">
        <f t="shared" si="26"/>
        <v>Low</v>
      </c>
      <c r="O262" s="1">
        <f t="shared" si="27"/>
        <v>0</v>
      </c>
      <c r="P262" s="1" t="str">
        <f t="shared" si="28"/>
        <v>High Loan</v>
      </c>
      <c r="Q262" s="1">
        <f t="shared" si="29"/>
        <v>1</v>
      </c>
    </row>
    <row r="263" spans="1:17" x14ac:dyDescent="0.3">
      <c r="A263" s="1" t="s">
        <v>291</v>
      </c>
      <c r="B263" s="1">
        <v>3</v>
      </c>
      <c r="C263" s="1" t="s">
        <v>20</v>
      </c>
      <c r="D263" s="1">
        <v>95932</v>
      </c>
      <c r="E263" s="1">
        <v>5600</v>
      </c>
      <c r="F263" s="2">
        <v>45933</v>
      </c>
      <c r="G263" s="2">
        <v>45933</v>
      </c>
      <c r="H263" s="1">
        <v>0</v>
      </c>
      <c r="I263" s="1" t="s">
        <v>17</v>
      </c>
      <c r="J263" s="1" t="s">
        <v>22</v>
      </c>
      <c r="K263" s="1" t="s">
        <v>15</v>
      </c>
      <c r="L263" s="1">
        <f t="shared" si="24"/>
        <v>0</v>
      </c>
      <c r="M263" s="1" t="str">
        <f t="shared" si="25"/>
        <v>On Time</v>
      </c>
      <c r="N263" s="1" t="str">
        <f t="shared" si="26"/>
        <v>Low</v>
      </c>
      <c r="O263" s="1">
        <f t="shared" si="27"/>
        <v>0</v>
      </c>
      <c r="P263" s="1" t="str">
        <f t="shared" si="28"/>
        <v>Very High Loan</v>
      </c>
      <c r="Q263" s="1">
        <f t="shared" si="29"/>
        <v>1</v>
      </c>
    </row>
    <row r="264" spans="1:17" x14ac:dyDescent="0.3">
      <c r="A264" s="1" t="s">
        <v>292</v>
      </c>
      <c r="B264" s="1">
        <v>1</v>
      </c>
      <c r="C264" s="1" t="s">
        <v>20</v>
      </c>
      <c r="D264" s="1">
        <v>37482</v>
      </c>
      <c r="E264" s="1">
        <v>4200</v>
      </c>
      <c r="F264" s="2">
        <v>45944</v>
      </c>
      <c r="G264" s="2">
        <v>45974</v>
      </c>
      <c r="H264" s="1">
        <v>30</v>
      </c>
      <c r="I264" s="1" t="s">
        <v>28</v>
      </c>
      <c r="J264" s="1" t="s">
        <v>22</v>
      </c>
      <c r="K264" s="1" t="s">
        <v>44</v>
      </c>
      <c r="L264" s="1">
        <f t="shared" si="24"/>
        <v>1</v>
      </c>
      <c r="M264" s="1" t="str">
        <f t="shared" si="25"/>
        <v>Delayed</v>
      </c>
      <c r="N264" s="1" t="str">
        <f t="shared" si="26"/>
        <v>High</v>
      </c>
      <c r="O264" s="1">
        <f t="shared" si="27"/>
        <v>0</v>
      </c>
      <c r="P264" s="1" t="str">
        <f t="shared" si="28"/>
        <v>Low Loan</v>
      </c>
      <c r="Q264" s="1">
        <f t="shared" si="29"/>
        <v>0</v>
      </c>
    </row>
    <row r="265" spans="1:17" x14ac:dyDescent="0.3">
      <c r="A265" s="1" t="s">
        <v>293</v>
      </c>
      <c r="B265" s="1">
        <v>2</v>
      </c>
      <c r="C265" s="1" t="s">
        <v>12</v>
      </c>
      <c r="D265" s="1">
        <v>43411</v>
      </c>
      <c r="E265" s="1">
        <v>4300</v>
      </c>
      <c r="F265" s="2">
        <v>45956</v>
      </c>
      <c r="G265" s="2">
        <v>45971</v>
      </c>
      <c r="H265" s="1">
        <v>15</v>
      </c>
      <c r="I265" s="1" t="s">
        <v>21</v>
      </c>
      <c r="J265" s="1" t="s">
        <v>22</v>
      </c>
      <c r="K265" s="1" t="s">
        <v>32</v>
      </c>
      <c r="L265" s="1">
        <f t="shared" si="24"/>
        <v>1</v>
      </c>
      <c r="M265" s="1" t="str">
        <f t="shared" si="25"/>
        <v>Delayed</v>
      </c>
      <c r="N265" s="1" t="str">
        <f t="shared" si="26"/>
        <v>High</v>
      </c>
      <c r="O265" s="1">
        <f t="shared" si="27"/>
        <v>0</v>
      </c>
      <c r="P265" s="1" t="str">
        <f t="shared" si="28"/>
        <v>Mid Loan</v>
      </c>
      <c r="Q265" s="1">
        <f t="shared" si="29"/>
        <v>0</v>
      </c>
    </row>
    <row r="266" spans="1:17" x14ac:dyDescent="0.3">
      <c r="A266" s="1" t="s">
        <v>294</v>
      </c>
      <c r="B266" s="1">
        <v>3</v>
      </c>
      <c r="C266" s="1" t="s">
        <v>20</v>
      </c>
      <c r="D266" s="1">
        <v>70975</v>
      </c>
      <c r="E266" s="1">
        <v>3900</v>
      </c>
      <c r="F266" s="2">
        <v>45949</v>
      </c>
      <c r="G266" s="2">
        <v>45949</v>
      </c>
      <c r="H266" s="1">
        <v>0</v>
      </c>
      <c r="I266" s="1" t="s">
        <v>17</v>
      </c>
      <c r="J266" s="1" t="s">
        <v>22</v>
      </c>
      <c r="K266" s="1" t="s">
        <v>32</v>
      </c>
      <c r="L266" s="1">
        <f t="shared" si="24"/>
        <v>0</v>
      </c>
      <c r="M266" s="1" t="str">
        <f t="shared" si="25"/>
        <v>On Time</v>
      </c>
      <c r="N266" s="1" t="str">
        <f t="shared" si="26"/>
        <v>Low</v>
      </c>
      <c r="O266" s="1">
        <f t="shared" si="27"/>
        <v>0</v>
      </c>
      <c r="P266" s="1" t="str">
        <f t="shared" si="28"/>
        <v>High Loan</v>
      </c>
      <c r="Q266" s="1">
        <f t="shared" si="29"/>
        <v>1</v>
      </c>
    </row>
    <row r="267" spans="1:17" x14ac:dyDescent="0.3">
      <c r="A267" s="1" t="s">
        <v>295</v>
      </c>
      <c r="B267" s="1">
        <v>3</v>
      </c>
      <c r="C267" s="1" t="s">
        <v>12</v>
      </c>
      <c r="D267" s="1">
        <v>80545</v>
      </c>
      <c r="E267" s="1">
        <v>4000</v>
      </c>
      <c r="F267" s="2">
        <v>45935</v>
      </c>
      <c r="G267" s="2">
        <v>45935</v>
      </c>
      <c r="H267" s="1">
        <v>0</v>
      </c>
      <c r="I267" s="1" t="s">
        <v>21</v>
      </c>
      <c r="J267" s="1" t="s">
        <v>14</v>
      </c>
      <c r="K267" s="1" t="s">
        <v>44</v>
      </c>
      <c r="L267" s="1">
        <f t="shared" si="24"/>
        <v>0</v>
      </c>
      <c r="M267" s="1" t="str">
        <f t="shared" si="25"/>
        <v>On Time</v>
      </c>
      <c r="N267" s="1" t="str">
        <f t="shared" si="26"/>
        <v>Low</v>
      </c>
      <c r="O267" s="1">
        <f t="shared" si="27"/>
        <v>1</v>
      </c>
      <c r="P267" s="1" t="str">
        <f t="shared" si="28"/>
        <v>Very High Loan</v>
      </c>
      <c r="Q267" s="1">
        <f t="shared" si="29"/>
        <v>1</v>
      </c>
    </row>
    <row r="268" spans="1:17" x14ac:dyDescent="0.3">
      <c r="A268" s="1" t="s">
        <v>296</v>
      </c>
      <c r="B268" s="1">
        <v>2</v>
      </c>
      <c r="C268" s="1" t="s">
        <v>12</v>
      </c>
      <c r="D268" s="1">
        <v>98797</v>
      </c>
      <c r="E268" s="1">
        <v>4700</v>
      </c>
      <c r="F268" s="2">
        <v>45959</v>
      </c>
      <c r="G268" s="2">
        <v>45974</v>
      </c>
      <c r="H268" s="1">
        <v>15</v>
      </c>
      <c r="I268" s="1" t="s">
        <v>28</v>
      </c>
      <c r="J268" s="1" t="s">
        <v>22</v>
      </c>
      <c r="K268" s="1" t="s">
        <v>54</v>
      </c>
      <c r="L268" s="1">
        <f t="shared" si="24"/>
        <v>1</v>
      </c>
      <c r="M268" s="1" t="str">
        <f t="shared" si="25"/>
        <v>Delayed</v>
      </c>
      <c r="N268" s="1" t="str">
        <f t="shared" si="26"/>
        <v>High</v>
      </c>
      <c r="O268" s="1">
        <f t="shared" si="27"/>
        <v>0</v>
      </c>
      <c r="P268" s="1" t="str">
        <f t="shared" si="28"/>
        <v>Very High Loan</v>
      </c>
      <c r="Q268" s="1">
        <f t="shared" si="29"/>
        <v>0</v>
      </c>
    </row>
    <row r="269" spans="1:17" x14ac:dyDescent="0.3">
      <c r="A269" s="1" t="s">
        <v>297</v>
      </c>
      <c r="B269" s="1">
        <v>3</v>
      </c>
      <c r="C269" s="1" t="s">
        <v>12</v>
      </c>
      <c r="D269" s="1">
        <v>72307</v>
      </c>
      <c r="E269" s="1">
        <v>4800</v>
      </c>
      <c r="F269" s="2">
        <v>45935</v>
      </c>
      <c r="G269" s="2">
        <v>45935</v>
      </c>
      <c r="H269" s="1">
        <v>0</v>
      </c>
      <c r="I269" s="1" t="s">
        <v>17</v>
      </c>
      <c r="J269" s="1" t="s">
        <v>22</v>
      </c>
      <c r="K269" s="1" t="s">
        <v>56</v>
      </c>
      <c r="L269" s="1">
        <f t="shared" si="24"/>
        <v>0</v>
      </c>
      <c r="M269" s="1" t="str">
        <f t="shared" si="25"/>
        <v>On Time</v>
      </c>
      <c r="N269" s="1" t="str">
        <f t="shared" si="26"/>
        <v>Low</v>
      </c>
      <c r="O269" s="1">
        <f t="shared" si="27"/>
        <v>0</v>
      </c>
      <c r="P269" s="1" t="str">
        <f t="shared" si="28"/>
        <v>High Loan</v>
      </c>
      <c r="Q269" s="1">
        <f t="shared" si="29"/>
        <v>1</v>
      </c>
    </row>
    <row r="270" spans="1:17" x14ac:dyDescent="0.3">
      <c r="A270" s="1" t="s">
        <v>298</v>
      </c>
      <c r="B270" s="1">
        <v>2</v>
      </c>
      <c r="C270" s="1" t="s">
        <v>20</v>
      </c>
      <c r="D270" s="1">
        <v>23093</v>
      </c>
      <c r="E270" s="1">
        <v>1100</v>
      </c>
      <c r="F270" s="2">
        <v>45950</v>
      </c>
      <c r="G270" s="2">
        <v>45950</v>
      </c>
      <c r="H270" s="1">
        <v>0</v>
      </c>
      <c r="I270" s="1" t="s">
        <v>17</v>
      </c>
      <c r="J270" s="1" t="s">
        <v>22</v>
      </c>
      <c r="K270" s="1" t="s">
        <v>56</v>
      </c>
      <c r="L270" s="1">
        <f t="shared" si="24"/>
        <v>0</v>
      </c>
      <c r="M270" s="1" t="str">
        <f t="shared" si="25"/>
        <v>On Time</v>
      </c>
      <c r="N270" s="1" t="str">
        <f t="shared" si="26"/>
        <v>Low</v>
      </c>
      <c r="O270" s="1">
        <f t="shared" si="27"/>
        <v>0</v>
      </c>
      <c r="P270" s="1" t="str">
        <f t="shared" si="28"/>
        <v>Low Loan</v>
      </c>
      <c r="Q270" s="1">
        <f t="shared" si="29"/>
        <v>1</v>
      </c>
    </row>
    <row r="271" spans="1:17" x14ac:dyDescent="0.3">
      <c r="A271" s="1" t="s">
        <v>299</v>
      </c>
      <c r="B271" s="1">
        <v>2</v>
      </c>
      <c r="C271" s="1" t="s">
        <v>12</v>
      </c>
      <c r="D271" s="1">
        <v>97258</v>
      </c>
      <c r="E271" s="1">
        <v>5700</v>
      </c>
      <c r="F271" s="2">
        <v>45947</v>
      </c>
      <c r="G271" s="2">
        <v>45962</v>
      </c>
      <c r="H271" s="1">
        <v>15</v>
      </c>
      <c r="I271" s="1" t="s">
        <v>28</v>
      </c>
      <c r="J271" s="1" t="s">
        <v>22</v>
      </c>
      <c r="K271" s="1" t="s">
        <v>15</v>
      </c>
      <c r="L271" s="1">
        <f t="shared" si="24"/>
        <v>1</v>
      </c>
      <c r="M271" s="1" t="str">
        <f t="shared" si="25"/>
        <v>Delayed</v>
      </c>
      <c r="N271" s="1" t="str">
        <f t="shared" si="26"/>
        <v>High</v>
      </c>
      <c r="O271" s="1">
        <f t="shared" si="27"/>
        <v>0</v>
      </c>
      <c r="P271" s="1" t="str">
        <f t="shared" si="28"/>
        <v>Very High Loan</v>
      </c>
      <c r="Q271" s="1">
        <f t="shared" si="29"/>
        <v>0</v>
      </c>
    </row>
    <row r="272" spans="1:17" x14ac:dyDescent="0.3">
      <c r="A272" s="1" t="s">
        <v>300</v>
      </c>
      <c r="B272" s="1">
        <v>3</v>
      </c>
      <c r="C272" s="1" t="s">
        <v>20</v>
      </c>
      <c r="D272" s="1">
        <v>42042</v>
      </c>
      <c r="E272" s="1">
        <v>1900</v>
      </c>
      <c r="F272" s="2">
        <v>45951</v>
      </c>
      <c r="G272" s="2">
        <v>45951</v>
      </c>
      <c r="H272" s="1">
        <v>0</v>
      </c>
      <c r="I272" s="1" t="s">
        <v>17</v>
      </c>
      <c r="J272" s="1" t="s">
        <v>22</v>
      </c>
      <c r="K272" s="1" t="s">
        <v>44</v>
      </c>
      <c r="L272" s="1">
        <f t="shared" si="24"/>
        <v>0</v>
      </c>
      <c r="M272" s="1" t="str">
        <f t="shared" si="25"/>
        <v>On Time</v>
      </c>
      <c r="N272" s="1" t="str">
        <f t="shared" si="26"/>
        <v>Low</v>
      </c>
      <c r="O272" s="1">
        <f t="shared" si="27"/>
        <v>0</v>
      </c>
      <c r="P272" s="1" t="str">
        <f t="shared" si="28"/>
        <v>Low Loan</v>
      </c>
      <c r="Q272" s="1">
        <f t="shared" si="29"/>
        <v>1</v>
      </c>
    </row>
    <row r="273" spans="1:17" x14ac:dyDescent="0.3">
      <c r="A273" s="1" t="s">
        <v>301</v>
      </c>
      <c r="B273" s="1">
        <v>3</v>
      </c>
      <c r="C273" s="1" t="s">
        <v>12</v>
      </c>
      <c r="D273" s="1">
        <v>72930</v>
      </c>
      <c r="E273" s="1">
        <v>3500</v>
      </c>
      <c r="F273" s="2">
        <v>45940</v>
      </c>
      <c r="G273" s="2">
        <v>45940</v>
      </c>
      <c r="H273" s="1">
        <v>0</v>
      </c>
      <c r="I273" s="1" t="s">
        <v>17</v>
      </c>
      <c r="J273" s="1" t="s">
        <v>22</v>
      </c>
      <c r="K273" s="1" t="s">
        <v>26</v>
      </c>
      <c r="L273" s="1">
        <f t="shared" si="24"/>
        <v>0</v>
      </c>
      <c r="M273" s="1" t="str">
        <f t="shared" si="25"/>
        <v>On Time</v>
      </c>
      <c r="N273" s="1" t="str">
        <f t="shared" si="26"/>
        <v>Low</v>
      </c>
      <c r="O273" s="1">
        <f t="shared" si="27"/>
        <v>0</v>
      </c>
      <c r="P273" s="1" t="str">
        <f t="shared" si="28"/>
        <v>High Loan</v>
      </c>
      <c r="Q273" s="1">
        <f t="shared" si="29"/>
        <v>1</v>
      </c>
    </row>
    <row r="274" spans="1:17" x14ac:dyDescent="0.3">
      <c r="A274" s="1" t="s">
        <v>302</v>
      </c>
      <c r="B274" s="1">
        <v>3</v>
      </c>
      <c r="C274" s="1" t="s">
        <v>20</v>
      </c>
      <c r="D274" s="1">
        <v>64413</v>
      </c>
      <c r="E274" s="1">
        <v>3800</v>
      </c>
      <c r="F274" s="2">
        <v>45935</v>
      </c>
      <c r="G274" s="2">
        <v>45935</v>
      </c>
      <c r="H274" s="1">
        <v>0</v>
      </c>
      <c r="I274" s="1" t="s">
        <v>21</v>
      </c>
      <c r="J274" s="1" t="s">
        <v>22</v>
      </c>
      <c r="K274" s="1" t="s">
        <v>56</v>
      </c>
      <c r="L274" s="1">
        <f t="shared" si="24"/>
        <v>0</v>
      </c>
      <c r="M274" s="1" t="str">
        <f t="shared" si="25"/>
        <v>On Time</v>
      </c>
      <c r="N274" s="1" t="str">
        <f t="shared" si="26"/>
        <v>Low</v>
      </c>
      <c r="O274" s="1">
        <f t="shared" si="27"/>
        <v>0</v>
      </c>
      <c r="P274" s="1" t="str">
        <f t="shared" si="28"/>
        <v>High Loan</v>
      </c>
      <c r="Q274" s="1">
        <f t="shared" si="29"/>
        <v>1</v>
      </c>
    </row>
    <row r="275" spans="1:17" x14ac:dyDescent="0.3">
      <c r="A275" s="1" t="s">
        <v>303</v>
      </c>
      <c r="B275" s="1">
        <v>3</v>
      </c>
      <c r="C275" s="1" t="s">
        <v>20</v>
      </c>
      <c r="D275" s="1">
        <v>53756</v>
      </c>
      <c r="E275" s="1">
        <v>4100</v>
      </c>
      <c r="F275" s="2">
        <v>45934</v>
      </c>
      <c r="G275" s="2">
        <v>45949</v>
      </c>
      <c r="H275" s="1">
        <v>15</v>
      </c>
      <c r="I275" s="1" t="s">
        <v>13</v>
      </c>
      <c r="J275" s="1" t="s">
        <v>22</v>
      </c>
      <c r="K275" s="1" t="s">
        <v>44</v>
      </c>
      <c r="L275" s="1">
        <f t="shared" si="24"/>
        <v>1</v>
      </c>
      <c r="M275" s="1" t="str">
        <f t="shared" si="25"/>
        <v>Delayed</v>
      </c>
      <c r="N275" s="1" t="str">
        <f t="shared" si="26"/>
        <v>High</v>
      </c>
      <c r="O275" s="1">
        <f t="shared" si="27"/>
        <v>0</v>
      </c>
      <c r="P275" s="1" t="str">
        <f t="shared" si="28"/>
        <v>Mid Loan</v>
      </c>
      <c r="Q275" s="1">
        <f t="shared" si="29"/>
        <v>0</v>
      </c>
    </row>
    <row r="276" spans="1:17" x14ac:dyDescent="0.3">
      <c r="A276" s="1" t="s">
        <v>304</v>
      </c>
      <c r="B276" s="1">
        <v>2</v>
      </c>
      <c r="C276" s="1" t="s">
        <v>12</v>
      </c>
      <c r="D276" s="1">
        <v>73268</v>
      </c>
      <c r="E276" s="1">
        <v>9200</v>
      </c>
      <c r="F276" s="2">
        <v>45936</v>
      </c>
      <c r="G276" s="2">
        <v>45939</v>
      </c>
      <c r="H276" s="1">
        <v>3</v>
      </c>
      <c r="I276" s="1" t="s">
        <v>17</v>
      </c>
      <c r="J276" s="1" t="s">
        <v>14</v>
      </c>
      <c r="K276" s="1" t="s">
        <v>23</v>
      </c>
      <c r="L276" s="1">
        <f t="shared" si="24"/>
        <v>1</v>
      </c>
      <c r="M276" s="1" t="str">
        <f t="shared" si="25"/>
        <v>Delayed</v>
      </c>
      <c r="N276" s="1" t="str">
        <f t="shared" si="26"/>
        <v>Medium</v>
      </c>
      <c r="O276" s="1">
        <f t="shared" si="27"/>
        <v>1</v>
      </c>
      <c r="P276" s="1" t="str">
        <f t="shared" si="28"/>
        <v>High Loan</v>
      </c>
      <c r="Q276" s="1">
        <f t="shared" si="29"/>
        <v>0</v>
      </c>
    </row>
    <row r="277" spans="1:17" x14ac:dyDescent="0.3">
      <c r="A277" s="1" t="s">
        <v>305</v>
      </c>
      <c r="B277" s="1">
        <v>2</v>
      </c>
      <c r="C277" s="1" t="s">
        <v>20</v>
      </c>
      <c r="D277" s="1">
        <v>59214</v>
      </c>
      <c r="E277" s="1">
        <v>2800</v>
      </c>
      <c r="F277" s="2">
        <v>45956</v>
      </c>
      <c r="G277" s="2">
        <v>45956</v>
      </c>
      <c r="H277" s="1">
        <v>0</v>
      </c>
      <c r="I277" s="1" t="s">
        <v>17</v>
      </c>
      <c r="J277" s="1" t="s">
        <v>22</v>
      </c>
      <c r="K277" s="1" t="s">
        <v>34</v>
      </c>
      <c r="L277" s="1">
        <f t="shared" si="24"/>
        <v>0</v>
      </c>
      <c r="M277" s="1" t="str">
        <f t="shared" si="25"/>
        <v>On Time</v>
      </c>
      <c r="N277" s="1" t="str">
        <f t="shared" si="26"/>
        <v>Low</v>
      </c>
      <c r="O277" s="1">
        <f t="shared" si="27"/>
        <v>0</v>
      </c>
      <c r="P277" s="1" t="str">
        <f t="shared" si="28"/>
        <v>Mid Loan</v>
      </c>
      <c r="Q277" s="1">
        <f t="shared" si="29"/>
        <v>1</v>
      </c>
    </row>
    <row r="278" spans="1:17" x14ac:dyDescent="0.3">
      <c r="A278" s="1" t="s">
        <v>306</v>
      </c>
      <c r="B278" s="1">
        <v>3</v>
      </c>
      <c r="C278" s="1" t="s">
        <v>20</v>
      </c>
      <c r="D278" s="1">
        <v>48602</v>
      </c>
      <c r="E278" s="1">
        <v>2700</v>
      </c>
      <c r="F278" s="2">
        <v>45934</v>
      </c>
      <c r="G278" s="2">
        <v>45934</v>
      </c>
      <c r="H278" s="1">
        <v>0</v>
      </c>
      <c r="I278" s="1" t="s">
        <v>17</v>
      </c>
      <c r="J278" s="1" t="s">
        <v>22</v>
      </c>
      <c r="K278" s="1" t="s">
        <v>32</v>
      </c>
      <c r="L278" s="1">
        <f t="shared" si="24"/>
        <v>0</v>
      </c>
      <c r="M278" s="1" t="str">
        <f t="shared" si="25"/>
        <v>On Time</v>
      </c>
      <c r="N278" s="1" t="str">
        <f t="shared" si="26"/>
        <v>Low</v>
      </c>
      <c r="O278" s="1">
        <f t="shared" si="27"/>
        <v>0</v>
      </c>
      <c r="P278" s="1" t="str">
        <f t="shared" si="28"/>
        <v>Mid Loan</v>
      </c>
      <c r="Q278" s="1">
        <f t="shared" si="29"/>
        <v>1</v>
      </c>
    </row>
    <row r="279" spans="1:17" x14ac:dyDescent="0.3">
      <c r="A279" s="1" t="s">
        <v>307</v>
      </c>
      <c r="B279" s="1">
        <v>2</v>
      </c>
      <c r="C279" s="1" t="s">
        <v>12</v>
      </c>
      <c r="D279" s="1">
        <v>73331</v>
      </c>
      <c r="E279" s="1">
        <v>5600</v>
      </c>
      <c r="F279" s="2">
        <v>45960</v>
      </c>
      <c r="G279" s="2">
        <v>45960</v>
      </c>
      <c r="H279" s="1">
        <v>0</v>
      </c>
      <c r="I279" s="1" t="s">
        <v>28</v>
      </c>
      <c r="J279" s="1" t="s">
        <v>22</v>
      </c>
      <c r="K279" s="1" t="s">
        <v>23</v>
      </c>
      <c r="L279" s="1">
        <f t="shared" si="24"/>
        <v>0</v>
      </c>
      <c r="M279" s="1" t="str">
        <f t="shared" si="25"/>
        <v>On Time</v>
      </c>
      <c r="N279" s="1" t="str">
        <f t="shared" si="26"/>
        <v>Low</v>
      </c>
      <c r="O279" s="1">
        <f t="shared" si="27"/>
        <v>0</v>
      </c>
      <c r="P279" s="1" t="str">
        <f t="shared" si="28"/>
        <v>High Loan</v>
      </c>
      <c r="Q279" s="1">
        <f t="shared" si="29"/>
        <v>1</v>
      </c>
    </row>
    <row r="280" spans="1:17" x14ac:dyDescent="0.3">
      <c r="A280" s="1" t="s">
        <v>308</v>
      </c>
      <c r="B280" s="1">
        <v>3</v>
      </c>
      <c r="C280" s="1" t="s">
        <v>12</v>
      </c>
      <c r="D280" s="1">
        <v>68901</v>
      </c>
      <c r="E280" s="1">
        <v>6900</v>
      </c>
      <c r="F280" s="2">
        <v>45937</v>
      </c>
      <c r="G280" s="2">
        <v>45940</v>
      </c>
      <c r="H280" s="1">
        <v>3</v>
      </c>
      <c r="I280" s="1" t="s">
        <v>28</v>
      </c>
      <c r="J280" s="1" t="s">
        <v>14</v>
      </c>
      <c r="K280" s="1" t="s">
        <v>54</v>
      </c>
      <c r="L280" s="1">
        <f t="shared" si="24"/>
        <v>1</v>
      </c>
      <c r="M280" s="1" t="str">
        <f t="shared" si="25"/>
        <v>Delayed</v>
      </c>
      <c r="N280" s="1" t="str">
        <f t="shared" si="26"/>
        <v>Medium</v>
      </c>
      <c r="O280" s="1">
        <f t="shared" si="27"/>
        <v>1</v>
      </c>
      <c r="P280" s="1" t="str">
        <f t="shared" si="28"/>
        <v>High Loan</v>
      </c>
      <c r="Q280" s="1">
        <f t="shared" si="29"/>
        <v>0</v>
      </c>
    </row>
    <row r="281" spans="1:17" x14ac:dyDescent="0.3">
      <c r="A281" s="1" t="s">
        <v>309</v>
      </c>
      <c r="B281" s="1">
        <v>3</v>
      </c>
      <c r="C281" s="1" t="s">
        <v>12</v>
      </c>
      <c r="D281" s="1">
        <v>83416</v>
      </c>
      <c r="E281" s="1">
        <v>6400</v>
      </c>
      <c r="F281" s="2">
        <v>45937</v>
      </c>
      <c r="G281" s="2">
        <v>45944</v>
      </c>
      <c r="H281" s="1">
        <v>7</v>
      </c>
      <c r="I281" s="1" t="s">
        <v>21</v>
      </c>
      <c r="J281" s="1" t="s">
        <v>22</v>
      </c>
      <c r="K281" s="1" t="s">
        <v>18</v>
      </c>
      <c r="L281" s="1">
        <f t="shared" si="24"/>
        <v>1</v>
      </c>
      <c r="M281" s="1" t="str">
        <f t="shared" si="25"/>
        <v>Delayed</v>
      </c>
      <c r="N281" s="1" t="str">
        <f t="shared" si="26"/>
        <v>Medium</v>
      </c>
      <c r="O281" s="1">
        <f t="shared" si="27"/>
        <v>0</v>
      </c>
      <c r="P281" s="1" t="str">
        <f t="shared" si="28"/>
        <v>Very High Loan</v>
      </c>
      <c r="Q281" s="1">
        <f t="shared" si="29"/>
        <v>0</v>
      </c>
    </row>
    <row r="282" spans="1:17" x14ac:dyDescent="0.3">
      <c r="A282" s="1" t="s">
        <v>310</v>
      </c>
      <c r="B282" s="1">
        <v>3</v>
      </c>
      <c r="C282" s="1" t="s">
        <v>12</v>
      </c>
      <c r="D282" s="1">
        <v>52196</v>
      </c>
      <c r="E282" s="1">
        <v>3100</v>
      </c>
      <c r="F282" s="2">
        <v>45948</v>
      </c>
      <c r="G282" s="2">
        <v>45948</v>
      </c>
      <c r="H282" s="1">
        <v>0</v>
      </c>
      <c r="I282" s="1" t="s">
        <v>28</v>
      </c>
      <c r="J282" s="1" t="s">
        <v>22</v>
      </c>
      <c r="K282" s="1" t="s">
        <v>15</v>
      </c>
      <c r="L282" s="1">
        <f t="shared" si="24"/>
        <v>0</v>
      </c>
      <c r="M282" s="1" t="str">
        <f t="shared" si="25"/>
        <v>On Time</v>
      </c>
      <c r="N282" s="1" t="str">
        <f t="shared" si="26"/>
        <v>Low</v>
      </c>
      <c r="O282" s="1">
        <f t="shared" si="27"/>
        <v>0</v>
      </c>
      <c r="P282" s="1" t="str">
        <f t="shared" si="28"/>
        <v>Mid Loan</v>
      </c>
      <c r="Q282" s="1">
        <f t="shared" si="29"/>
        <v>1</v>
      </c>
    </row>
    <row r="283" spans="1:17" x14ac:dyDescent="0.3">
      <c r="A283" s="1" t="s">
        <v>311</v>
      </c>
      <c r="B283" s="1">
        <v>2</v>
      </c>
      <c r="C283" s="1" t="s">
        <v>12</v>
      </c>
      <c r="D283" s="1">
        <v>25626</v>
      </c>
      <c r="E283" s="1">
        <v>4300</v>
      </c>
      <c r="F283" s="2">
        <v>45933</v>
      </c>
      <c r="G283" s="2">
        <v>45963</v>
      </c>
      <c r="H283" s="1">
        <v>30</v>
      </c>
      <c r="I283" s="1" t="s">
        <v>21</v>
      </c>
      <c r="J283" s="1" t="s">
        <v>22</v>
      </c>
      <c r="K283" s="1" t="s">
        <v>70</v>
      </c>
      <c r="L283" s="1">
        <f t="shared" si="24"/>
        <v>1</v>
      </c>
      <c r="M283" s="1" t="str">
        <f t="shared" si="25"/>
        <v>Delayed</v>
      </c>
      <c r="N283" s="1" t="str">
        <f t="shared" si="26"/>
        <v>High</v>
      </c>
      <c r="O283" s="1">
        <f t="shared" si="27"/>
        <v>0</v>
      </c>
      <c r="P283" s="1" t="str">
        <f t="shared" si="28"/>
        <v>Low Loan</v>
      </c>
      <c r="Q283" s="1">
        <f t="shared" si="29"/>
        <v>0</v>
      </c>
    </row>
    <row r="284" spans="1:17" x14ac:dyDescent="0.3">
      <c r="A284" s="1" t="s">
        <v>312</v>
      </c>
      <c r="B284" s="1">
        <v>2</v>
      </c>
      <c r="C284" s="1" t="s">
        <v>20</v>
      </c>
      <c r="D284" s="1">
        <v>27424</v>
      </c>
      <c r="E284" s="1">
        <v>2500</v>
      </c>
      <c r="F284" s="2">
        <v>45931</v>
      </c>
      <c r="G284" s="2">
        <v>45931</v>
      </c>
      <c r="H284" s="1">
        <v>0</v>
      </c>
      <c r="I284" s="1" t="s">
        <v>13</v>
      </c>
      <c r="J284" s="1" t="s">
        <v>22</v>
      </c>
      <c r="K284" s="1" t="s">
        <v>54</v>
      </c>
      <c r="L284" s="1">
        <f t="shared" si="24"/>
        <v>0</v>
      </c>
      <c r="M284" s="1" t="str">
        <f t="shared" si="25"/>
        <v>On Time</v>
      </c>
      <c r="N284" s="1" t="str">
        <f t="shared" si="26"/>
        <v>Low</v>
      </c>
      <c r="O284" s="1">
        <f t="shared" si="27"/>
        <v>0</v>
      </c>
      <c r="P284" s="1" t="str">
        <f t="shared" si="28"/>
        <v>Low Loan</v>
      </c>
      <c r="Q284" s="1">
        <f t="shared" si="29"/>
        <v>1</v>
      </c>
    </row>
    <row r="285" spans="1:17" x14ac:dyDescent="0.3">
      <c r="A285" s="1" t="s">
        <v>313</v>
      </c>
      <c r="B285" s="1">
        <v>1</v>
      </c>
      <c r="C285" s="1" t="s">
        <v>20</v>
      </c>
      <c r="D285" s="1">
        <v>32857</v>
      </c>
      <c r="E285" s="1">
        <v>1400</v>
      </c>
      <c r="F285" s="2">
        <v>45954</v>
      </c>
      <c r="G285" s="2">
        <v>45954</v>
      </c>
      <c r="H285" s="1">
        <v>0</v>
      </c>
      <c r="I285" s="1" t="s">
        <v>17</v>
      </c>
      <c r="J285" s="1" t="s">
        <v>22</v>
      </c>
      <c r="K285" s="1" t="s">
        <v>44</v>
      </c>
      <c r="L285" s="1">
        <f t="shared" si="24"/>
        <v>0</v>
      </c>
      <c r="M285" s="1" t="str">
        <f t="shared" si="25"/>
        <v>On Time</v>
      </c>
      <c r="N285" s="1" t="str">
        <f t="shared" si="26"/>
        <v>Low</v>
      </c>
      <c r="O285" s="1">
        <f t="shared" si="27"/>
        <v>0</v>
      </c>
      <c r="P285" s="1" t="str">
        <f t="shared" si="28"/>
        <v>Low Loan</v>
      </c>
      <c r="Q285" s="1">
        <f t="shared" si="29"/>
        <v>1</v>
      </c>
    </row>
    <row r="286" spans="1:17" x14ac:dyDescent="0.3">
      <c r="A286" s="1" t="s">
        <v>314</v>
      </c>
      <c r="B286" s="1">
        <v>2</v>
      </c>
      <c r="C286" s="1" t="s">
        <v>20</v>
      </c>
      <c r="D286" s="1">
        <v>39982</v>
      </c>
      <c r="E286" s="1">
        <v>3100</v>
      </c>
      <c r="F286" s="2">
        <v>45955</v>
      </c>
      <c r="G286" s="2">
        <v>45955</v>
      </c>
      <c r="H286" s="1">
        <v>0</v>
      </c>
      <c r="I286" s="1" t="s">
        <v>17</v>
      </c>
      <c r="J286" s="1" t="s">
        <v>14</v>
      </c>
      <c r="K286" s="1" t="s">
        <v>34</v>
      </c>
      <c r="L286" s="1">
        <f t="shared" si="24"/>
        <v>0</v>
      </c>
      <c r="M286" s="1" t="str">
        <f t="shared" si="25"/>
        <v>On Time</v>
      </c>
      <c r="N286" s="1" t="str">
        <f t="shared" si="26"/>
        <v>Low</v>
      </c>
      <c r="O286" s="1">
        <f t="shared" si="27"/>
        <v>1</v>
      </c>
      <c r="P286" s="1" t="str">
        <f t="shared" si="28"/>
        <v>Low Loan</v>
      </c>
      <c r="Q286" s="1">
        <f t="shared" si="29"/>
        <v>1</v>
      </c>
    </row>
    <row r="287" spans="1:17" x14ac:dyDescent="0.3">
      <c r="A287" s="1" t="s">
        <v>315</v>
      </c>
      <c r="B287" s="1">
        <v>1</v>
      </c>
      <c r="C287" s="1" t="s">
        <v>30</v>
      </c>
      <c r="D287" s="1">
        <v>96961</v>
      </c>
      <c r="E287" s="1">
        <v>8100</v>
      </c>
      <c r="F287" s="2">
        <v>45934</v>
      </c>
      <c r="G287" s="2">
        <v>45934</v>
      </c>
      <c r="H287" s="1">
        <v>0</v>
      </c>
      <c r="I287" s="1" t="s">
        <v>13</v>
      </c>
      <c r="J287" s="1" t="s">
        <v>22</v>
      </c>
      <c r="K287" s="1" t="s">
        <v>15</v>
      </c>
      <c r="L287" s="1">
        <f t="shared" si="24"/>
        <v>0</v>
      </c>
      <c r="M287" s="1" t="str">
        <f t="shared" si="25"/>
        <v>On Time</v>
      </c>
      <c r="N287" s="1" t="str">
        <f t="shared" si="26"/>
        <v>Low</v>
      </c>
      <c r="O287" s="1">
        <f t="shared" si="27"/>
        <v>0</v>
      </c>
      <c r="P287" s="1" t="str">
        <f t="shared" si="28"/>
        <v>Very High Loan</v>
      </c>
      <c r="Q287" s="1">
        <f t="shared" si="29"/>
        <v>1</v>
      </c>
    </row>
    <row r="288" spans="1:17" x14ac:dyDescent="0.3">
      <c r="A288" s="1" t="s">
        <v>316</v>
      </c>
      <c r="B288" s="1">
        <v>2</v>
      </c>
      <c r="C288" s="1" t="s">
        <v>12</v>
      </c>
      <c r="D288" s="1">
        <v>21980</v>
      </c>
      <c r="E288" s="1">
        <v>3700</v>
      </c>
      <c r="F288" s="2">
        <v>45936</v>
      </c>
      <c r="G288" s="2">
        <v>45936</v>
      </c>
      <c r="H288" s="1">
        <v>0</v>
      </c>
      <c r="I288" s="1" t="s">
        <v>17</v>
      </c>
      <c r="J288" s="1" t="s">
        <v>14</v>
      </c>
      <c r="K288" s="1" t="s">
        <v>18</v>
      </c>
      <c r="L288" s="1">
        <f t="shared" si="24"/>
        <v>0</v>
      </c>
      <c r="M288" s="1" t="str">
        <f t="shared" si="25"/>
        <v>On Time</v>
      </c>
      <c r="N288" s="1" t="str">
        <f t="shared" si="26"/>
        <v>Low</v>
      </c>
      <c r="O288" s="1">
        <f t="shared" si="27"/>
        <v>1</v>
      </c>
      <c r="P288" s="1" t="str">
        <f t="shared" si="28"/>
        <v>Low Loan</v>
      </c>
      <c r="Q288" s="1">
        <f t="shared" si="29"/>
        <v>1</v>
      </c>
    </row>
    <row r="289" spans="1:17" x14ac:dyDescent="0.3">
      <c r="A289" s="1" t="s">
        <v>317</v>
      </c>
      <c r="B289" s="1">
        <v>2</v>
      </c>
      <c r="C289" s="1" t="s">
        <v>20</v>
      </c>
      <c r="D289" s="1">
        <v>68290</v>
      </c>
      <c r="E289" s="1">
        <v>3300</v>
      </c>
      <c r="F289" s="2">
        <v>45939</v>
      </c>
      <c r="G289" s="2">
        <v>45939</v>
      </c>
      <c r="H289" s="1">
        <v>0</v>
      </c>
      <c r="I289" s="1" t="s">
        <v>21</v>
      </c>
      <c r="J289" s="1" t="s">
        <v>22</v>
      </c>
      <c r="K289" s="1" t="s">
        <v>23</v>
      </c>
      <c r="L289" s="1">
        <f t="shared" si="24"/>
        <v>0</v>
      </c>
      <c r="M289" s="1" t="str">
        <f t="shared" si="25"/>
        <v>On Time</v>
      </c>
      <c r="N289" s="1" t="str">
        <f t="shared" si="26"/>
        <v>Low</v>
      </c>
      <c r="O289" s="1">
        <f t="shared" si="27"/>
        <v>0</v>
      </c>
      <c r="P289" s="1" t="str">
        <f t="shared" si="28"/>
        <v>High Loan</v>
      </c>
      <c r="Q289" s="1">
        <f t="shared" si="29"/>
        <v>1</v>
      </c>
    </row>
    <row r="290" spans="1:17" x14ac:dyDescent="0.3">
      <c r="A290" s="1" t="s">
        <v>318</v>
      </c>
      <c r="B290" s="1">
        <v>2</v>
      </c>
      <c r="C290" s="1" t="s">
        <v>20</v>
      </c>
      <c r="D290" s="1">
        <v>46431</v>
      </c>
      <c r="E290" s="1">
        <v>2700</v>
      </c>
      <c r="F290" s="2">
        <v>45952</v>
      </c>
      <c r="G290" s="2">
        <v>45952</v>
      </c>
      <c r="H290" s="1">
        <v>0</v>
      </c>
      <c r="I290" s="1" t="s">
        <v>28</v>
      </c>
      <c r="J290" s="1" t="s">
        <v>22</v>
      </c>
      <c r="K290" s="1" t="s">
        <v>44</v>
      </c>
      <c r="L290" s="1">
        <f t="shared" si="24"/>
        <v>0</v>
      </c>
      <c r="M290" s="1" t="str">
        <f t="shared" si="25"/>
        <v>On Time</v>
      </c>
      <c r="N290" s="1" t="str">
        <f t="shared" si="26"/>
        <v>Low</v>
      </c>
      <c r="O290" s="1">
        <f t="shared" si="27"/>
        <v>0</v>
      </c>
      <c r="P290" s="1" t="str">
        <f t="shared" si="28"/>
        <v>Mid Loan</v>
      </c>
      <c r="Q290" s="1">
        <f t="shared" si="29"/>
        <v>1</v>
      </c>
    </row>
    <row r="291" spans="1:17" x14ac:dyDescent="0.3">
      <c r="A291" s="1" t="s">
        <v>319</v>
      </c>
      <c r="B291" s="1">
        <v>2</v>
      </c>
      <c r="C291" s="1" t="s">
        <v>30</v>
      </c>
      <c r="D291" s="1">
        <v>46385</v>
      </c>
      <c r="E291" s="1">
        <v>4200</v>
      </c>
      <c r="F291" s="2">
        <v>45944</v>
      </c>
      <c r="G291" s="2">
        <v>45947</v>
      </c>
      <c r="H291" s="1">
        <v>3</v>
      </c>
      <c r="I291" s="1" t="s">
        <v>21</v>
      </c>
      <c r="J291" s="1" t="s">
        <v>22</v>
      </c>
      <c r="K291" s="1" t="s">
        <v>32</v>
      </c>
      <c r="L291" s="1">
        <f t="shared" si="24"/>
        <v>1</v>
      </c>
      <c r="M291" s="1" t="str">
        <f t="shared" si="25"/>
        <v>Delayed</v>
      </c>
      <c r="N291" s="1" t="str">
        <f t="shared" si="26"/>
        <v>Medium</v>
      </c>
      <c r="O291" s="1">
        <f t="shared" si="27"/>
        <v>0</v>
      </c>
      <c r="P291" s="1" t="str">
        <f t="shared" si="28"/>
        <v>Mid Loan</v>
      </c>
      <c r="Q291" s="1">
        <f t="shared" si="29"/>
        <v>0</v>
      </c>
    </row>
    <row r="292" spans="1:17" x14ac:dyDescent="0.3">
      <c r="A292" s="1" t="s">
        <v>320</v>
      </c>
      <c r="B292" s="1">
        <v>1</v>
      </c>
      <c r="C292" s="1" t="s">
        <v>20</v>
      </c>
      <c r="D292" s="1">
        <v>58158</v>
      </c>
      <c r="E292" s="1">
        <v>8300</v>
      </c>
      <c r="F292" s="2">
        <v>45958</v>
      </c>
      <c r="G292" s="2">
        <v>45958</v>
      </c>
      <c r="H292" s="1">
        <v>0</v>
      </c>
      <c r="I292" s="1" t="s">
        <v>17</v>
      </c>
      <c r="J292" s="1" t="s">
        <v>22</v>
      </c>
      <c r="K292" s="1" t="s">
        <v>32</v>
      </c>
      <c r="L292" s="1">
        <f t="shared" si="24"/>
        <v>0</v>
      </c>
      <c r="M292" s="1" t="str">
        <f t="shared" si="25"/>
        <v>On Time</v>
      </c>
      <c r="N292" s="1" t="str">
        <f t="shared" si="26"/>
        <v>Low</v>
      </c>
      <c r="O292" s="1">
        <f t="shared" si="27"/>
        <v>0</v>
      </c>
      <c r="P292" s="1" t="str">
        <f t="shared" si="28"/>
        <v>Mid Loan</v>
      </c>
      <c r="Q292" s="1">
        <f t="shared" si="29"/>
        <v>1</v>
      </c>
    </row>
    <row r="293" spans="1:17" x14ac:dyDescent="0.3">
      <c r="A293" s="1" t="s">
        <v>321</v>
      </c>
      <c r="B293" s="1">
        <v>1</v>
      </c>
      <c r="C293" s="1" t="s">
        <v>12</v>
      </c>
      <c r="D293" s="1">
        <v>43019</v>
      </c>
      <c r="E293" s="1">
        <v>2300</v>
      </c>
      <c r="F293" s="2">
        <v>45942</v>
      </c>
      <c r="G293" s="2">
        <v>45949</v>
      </c>
      <c r="H293" s="1">
        <v>7</v>
      </c>
      <c r="I293" s="1" t="s">
        <v>21</v>
      </c>
      <c r="J293" s="1" t="s">
        <v>22</v>
      </c>
      <c r="K293" s="1" t="s">
        <v>32</v>
      </c>
      <c r="L293" s="1">
        <f t="shared" si="24"/>
        <v>1</v>
      </c>
      <c r="M293" s="1" t="str">
        <f t="shared" si="25"/>
        <v>Delayed</v>
      </c>
      <c r="N293" s="1" t="str">
        <f t="shared" si="26"/>
        <v>Medium</v>
      </c>
      <c r="O293" s="1">
        <f t="shared" si="27"/>
        <v>0</v>
      </c>
      <c r="P293" s="1" t="str">
        <f t="shared" si="28"/>
        <v>Mid Loan</v>
      </c>
      <c r="Q293" s="1">
        <f t="shared" si="29"/>
        <v>0</v>
      </c>
    </row>
    <row r="294" spans="1:17" x14ac:dyDescent="0.3">
      <c r="A294" s="1" t="s">
        <v>322</v>
      </c>
      <c r="B294" s="1">
        <v>3</v>
      </c>
      <c r="C294" s="1" t="s">
        <v>12</v>
      </c>
      <c r="D294" s="1">
        <v>38639</v>
      </c>
      <c r="E294" s="1">
        <v>4300</v>
      </c>
      <c r="F294" s="2">
        <v>45958</v>
      </c>
      <c r="G294" s="2">
        <v>46003</v>
      </c>
      <c r="H294" s="1">
        <v>45</v>
      </c>
      <c r="I294" s="1" t="s">
        <v>17</v>
      </c>
      <c r="J294" s="1" t="s">
        <v>22</v>
      </c>
      <c r="K294" s="1" t="s">
        <v>70</v>
      </c>
      <c r="L294" s="1">
        <f t="shared" si="24"/>
        <v>1</v>
      </c>
      <c r="M294" s="1" t="str">
        <f t="shared" si="25"/>
        <v>Delayed</v>
      </c>
      <c r="N294" s="1" t="str">
        <f t="shared" si="26"/>
        <v>High</v>
      </c>
      <c r="O294" s="1">
        <f t="shared" si="27"/>
        <v>0</v>
      </c>
      <c r="P294" s="1" t="str">
        <f t="shared" si="28"/>
        <v>Low Loan</v>
      </c>
      <c r="Q294" s="1">
        <f t="shared" si="29"/>
        <v>0</v>
      </c>
    </row>
    <row r="295" spans="1:17" x14ac:dyDescent="0.3">
      <c r="A295" s="1" t="s">
        <v>323</v>
      </c>
      <c r="B295" s="1">
        <v>2</v>
      </c>
      <c r="C295" s="1" t="s">
        <v>12</v>
      </c>
      <c r="D295" s="1">
        <v>41563</v>
      </c>
      <c r="E295" s="1">
        <v>6900</v>
      </c>
      <c r="F295" s="2">
        <v>45955</v>
      </c>
      <c r="G295" s="2">
        <v>45955</v>
      </c>
      <c r="H295" s="1">
        <v>0</v>
      </c>
      <c r="I295" s="1" t="s">
        <v>28</v>
      </c>
      <c r="J295" s="1" t="s">
        <v>14</v>
      </c>
      <c r="K295" s="1" t="s">
        <v>23</v>
      </c>
      <c r="L295" s="1">
        <f t="shared" si="24"/>
        <v>0</v>
      </c>
      <c r="M295" s="1" t="str">
        <f t="shared" si="25"/>
        <v>On Time</v>
      </c>
      <c r="N295" s="1" t="str">
        <f t="shared" si="26"/>
        <v>Low</v>
      </c>
      <c r="O295" s="1">
        <f t="shared" si="27"/>
        <v>1</v>
      </c>
      <c r="P295" s="1" t="str">
        <f t="shared" si="28"/>
        <v>Low Loan</v>
      </c>
      <c r="Q295" s="1">
        <f t="shared" si="29"/>
        <v>1</v>
      </c>
    </row>
    <row r="296" spans="1:17" x14ac:dyDescent="0.3">
      <c r="A296" s="1" t="s">
        <v>324</v>
      </c>
      <c r="B296" s="1">
        <v>1</v>
      </c>
      <c r="C296" s="1" t="s">
        <v>20</v>
      </c>
      <c r="D296" s="1">
        <v>59341</v>
      </c>
      <c r="E296" s="1">
        <v>2600</v>
      </c>
      <c r="F296" s="2">
        <v>45950</v>
      </c>
      <c r="G296" s="2">
        <v>45950</v>
      </c>
      <c r="H296" s="1">
        <v>0</v>
      </c>
      <c r="I296" s="1" t="s">
        <v>17</v>
      </c>
      <c r="J296" s="1" t="s">
        <v>22</v>
      </c>
      <c r="K296" s="1" t="s">
        <v>23</v>
      </c>
      <c r="L296" s="1">
        <f t="shared" si="24"/>
        <v>0</v>
      </c>
      <c r="M296" s="1" t="str">
        <f t="shared" si="25"/>
        <v>On Time</v>
      </c>
      <c r="N296" s="1" t="str">
        <f t="shared" si="26"/>
        <v>Low</v>
      </c>
      <c r="O296" s="1">
        <f t="shared" si="27"/>
        <v>0</v>
      </c>
      <c r="P296" s="1" t="str">
        <f t="shared" si="28"/>
        <v>Mid Loan</v>
      </c>
      <c r="Q296" s="1">
        <f t="shared" si="29"/>
        <v>1</v>
      </c>
    </row>
    <row r="297" spans="1:17" x14ac:dyDescent="0.3">
      <c r="A297" s="1" t="s">
        <v>325</v>
      </c>
      <c r="B297" s="1">
        <v>2</v>
      </c>
      <c r="C297" s="1" t="s">
        <v>12</v>
      </c>
      <c r="D297" s="1">
        <v>25776</v>
      </c>
      <c r="E297" s="1">
        <v>1400</v>
      </c>
      <c r="F297" s="2">
        <v>45954</v>
      </c>
      <c r="G297" s="2">
        <v>45954</v>
      </c>
      <c r="H297" s="1">
        <v>0</v>
      </c>
      <c r="I297" s="1" t="s">
        <v>17</v>
      </c>
      <c r="J297" s="1" t="s">
        <v>22</v>
      </c>
      <c r="K297" s="1" t="s">
        <v>15</v>
      </c>
      <c r="L297" s="1">
        <f t="shared" si="24"/>
        <v>0</v>
      </c>
      <c r="M297" s="1" t="str">
        <f t="shared" si="25"/>
        <v>On Time</v>
      </c>
      <c r="N297" s="1" t="str">
        <f t="shared" si="26"/>
        <v>Low</v>
      </c>
      <c r="O297" s="1">
        <f t="shared" si="27"/>
        <v>0</v>
      </c>
      <c r="P297" s="1" t="str">
        <f t="shared" si="28"/>
        <v>Low Loan</v>
      </c>
      <c r="Q297" s="1">
        <f t="shared" si="29"/>
        <v>1</v>
      </c>
    </row>
    <row r="298" spans="1:17" x14ac:dyDescent="0.3">
      <c r="A298" s="1" t="s">
        <v>326</v>
      </c>
      <c r="B298" s="1">
        <v>3</v>
      </c>
      <c r="C298" s="1" t="s">
        <v>30</v>
      </c>
      <c r="D298" s="1">
        <v>56444</v>
      </c>
      <c r="E298" s="1">
        <v>8100</v>
      </c>
      <c r="F298" s="2">
        <v>45955</v>
      </c>
      <c r="G298" s="2">
        <v>45955</v>
      </c>
      <c r="H298" s="1">
        <v>0</v>
      </c>
      <c r="I298" s="1" t="s">
        <v>17</v>
      </c>
      <c r="J298" s="1" t="s">
        <v>22</v>
      </c>
      <c r="K298" s="1" t="s">
        <v>32</v>
      </c>
      <c r="L298" s="1">
        <f t="shared" si="24"/>
        <v>0</v>
      </c>
      <c r="M298" s="1" t="str">
        <f t="shared" si="25"/>
        <v>On Time</v>
      </c>
      <c r="N298" s="1" t="str">
        <f t="shared" si="26"/>
        <v>Low</v>
      </c>
      <c r="O298" s="1">
        <f t="shared" si="27"/>
        <v>0</v>
      </c>
      <c r="P298" s="1" t="str">
        <f t="shared" si="28"/>
        <v>Mid Loan</v>
      </c>
      <c r="Q298" s="1">
        <f t="shared" si="29"/>
        <v>1</v>
      </c>
    </row>
    <row r="299" spans="1:17" x14ac:dyDescent="0.3">
      <c r="A299" s="1" t="s">
        <v>327</v>
      </c>
      <c r="B299" s="1">
        <v>2</v>
      </c>
      <c r="C299" s="1" t="s">
        <v>12</v>
      </c>
      <c r="D299" s="1">
        <v>88916</v>
      </c>
      <c r="E299" s="1">
        <v>6400</v>
      </c>
      <c r="F299" s="2">
        <v>45934</v>
      </c>
      <c r="G299" s="2">
        <v>45934</v>
      </c>
      <c r="H299" s="1">
        <v>0</v>
      </c>
      <c r="I299" s="1" t="s">
        <v>13</v>
      </c>
      <c r="J299" s="1" t="s">
        <v>22</v>
      </c>
      <c r="K299" s="1" t="s">
        <v>34</v>
      </c>
      <c r="L299" s="1">
        <f t="shared" si="24"/>
        <v>0</v>
      </c>
      <c r="M299" s="1" t="str">
        <f t="shared" si="25"/>
        <v>On Time</v>
      </c>
      <c r="N299" s="1" t="str">
        <f t="shared" si="26"/>
        <v>Low</v>
      </c>
      <c r="O299" s="1">
        <f t="shared" si="27"/>
        <v>0</v>
      </c>
      <c r="P299" s="1" t="str">
        <f t="shared" si="28"/>
        <v>Very High Loan</v>
      </c>
      <c r="Q299" s="1">
        <f t="shared" si="29"/>
        <v>1</v>
      </c>
    </row>
    <row r="300" spans="1:17" x14ac:dyDescent="0.3">
      <c r="A300" s="1" t="s">
        <v>328</v>
      </c>
      <c r="B300" s="1">
        <v>2</v>
      </c>
      <c r="C300" s="1" t="s">
        <v>12</v>
      </c>
      <c r="D300" s="1">
        <v>28711</v>
      </c>
      <c r="E300" s="1">
        <v>4100</v>
      </c>
      <c r="F300" s="2">
        <v>45951</v>
      </c>
      <c r="G300" s="2">
        <v>45958</v>
      </c>
      <c r="H300" s="1">
        <v>7</v>
      </c>
      <c r="I300" s="1" t="s">
        <v>17</v>
      </c>
      <c r="J300" s="1" t="s">
        <v>22</v>
      </c>
      <c r="K300" s="1" t="s">
        <v>54</v>
      </c>
      <c r="L300" s="1">
        <f t="shared" si="24"/>
        <v>1</v>
      </c>
      <c r="M300" s="1" t="str">
        <f t="shared" si="25"/>
        <v>Delayed</v>
      </c>
      <c r="N300" s="1" t="str">
        <f t="shared" si="26"/>
        <v>Medium</v>
      </c>
      <c r="O300" s="1">
        <f t="shared" si="27"/>
        <v>0</v>
      </c>
      <c r="P300" s="1" t="str">
        <f t="shared" si="28"/>
        <v>Low Loan</v>
      </c>
      <c r="Q300" s="1">
        <f t="shared" si="29"/>
        <v>0</v>
      </c>
    </row>
    <row r="301" spans="1:17" x14ac:dyDescent="0.3">
      <c r="A301" s="1" t="s">
        <v>329</v>
      </c>
      <c r="B301" s="1">
        <v>1</v>
      </c>
      <c r="C301" s="1" t="s">
        <v>30</v>
      </c>
      <c r="D301" s="1">
        <v>94318</v>
      </c>
      <c r="E301" s="1">
        <v>6700</v>
      </c>
      <c r="F301" s="2">
        <v>45960</v>
      </c>
      <c r="G301" s="2">
        <v>45963</v>
      </c>
      <c r="H301" s="1">
        <v>3</v>
      </c>
      <c r="I301" s="1" t="s">
        <v>13</v>
      </c>
      <c r="J301" s="1" t="s">
        <v>22</v>
      </c>
      <c r="K301" s="1" t="s">
        <v>34</v>
      </c>
      <c r="L301" s="1">
        <f t="shared" si="24"/>
        <v>1</v>
      </c>
      <c r="M301" s="1" t="str">
        <f t="shared" si="25"/>
        <v>Delayed</v>
      </c>
      <c r="N301" s="1" t="str">
        <f t="shared" si="26"/>
        <v>Medium</v>
      </c>
      <c r="O301" s="1">
        <f t="shared" si="27"/>
        <v>0</v>
      </c>
      <c r="P301" s="1" t="str">
        <f t="shared" si="28"/>
        <v>Very High Loan</v>
      </c>
      <c r="Q301" s="1">
        <f t="shared" si="29"/>
        <v>0</v>
      </c>
    </row>
    <row r="302" spans="1:17" x14ac:dyDescent="0.3">
      <c r="A302" s="1" t="s">
        <v>330</v>
      </c>
      <c r="B302" s="1">
        <v>1</v>
      </c>
      <c r="C302" s="1" t="s">
        <v>12</v>
      </c>
      <c r="D302" s="1">
        <v>50707</v>
      </c>
      <c r="E302" s="1">
        <v>8500</v>
      </c>
      <c r="F302" s="2">
        <v>45954</v>
      </c>
      <c r="G302" s="2">
        <v>45954</v>
      </c>
      <c r="H302" s="1">
        <v>0</v>
      </c>
      <c r="I302" s="1" t="s">
        <v>13</v>
      </c>
      <c r="J302" s="1" t="s">
        <v>14</v>
      </c>
      <c r="K302" s="1" t="s">
        <v>26</v>
      </c>
      <c r="L302" s="1">
        <f t="shared" si="24"/>
        <v>0</v>
      </c>
      <c r="M302" s="1" t="str">
        <f t="shared" si="25"/>
        <v>On Time</v>
      </c>
      <c r="N302" s="1" t="str">
        <f t="shared" si="26"/>
        <v>Low</v>
      </c>
      <c r="O302" s="1">
        <f t="shared" si="27"/>
        <v>1</v>
      </c>
      <c r="P302" s="1" t="str">
        <f t="shared" si="28"/>
        <v>Mid Loan</v>
      </c>
      <c r="Q302" s="1">
        <f t="shared" si="29"/>
        <v>1</v>
      </c>
    </row>
    <row r="303" spans="1:17" x14ac:dyDescent="0.3">
      <c r="A303" s="1" t="s">
        <v>331</v>
      </c>
      <c r="B303" s="1">
        <v>2</v>
      </c>
      <c r="C303" s="1" t="s">
        <v>20</v>
      </c>
      <c r="D303" s="1">
        <v>59110</v>
      </c>
      <c r="E303" s="1">
        <v>3700</v>
      </c>
      <c r="F303" s="2">
        <v>45942</v>
      </c>
      <c r="G303" s="2">
        <v>45957</v>
      </c>
      <c r="H303" s="1">
        <v>15</v>
      </c>
      <c r="I303" s="1" t="s">
        <v>17</v>
      </c>
      <c r="J303" s="1" t="s">
        <v>22</v>
      </c>
      <c r="K303" s="1" t="s">
        <v>70</v>
      </c>
      <c r="L303" s="1">
        <f t="shared" si="24"/>
        <v>1</v>
      </c>
      <c r="M303" s="1" t="str">
        <f t="shared" si="25"/>
        <v>Delayed</v>
      </c>
      <c r="N303" s="1" t="str">
        <f t="shared" si="26"/>
        <v>High</v>
      </c>
      <c r="O303" s="1">
        <f t="shared" si="27"/>
        <v>0</v>
      </c>
      <c r="P303" s="1" t="str">
        <f t="shared" si="28"/>
        <v>Mid Loan</v>
      </c>
      <c r="Q303" s="1">
        <f t="shared" si="29"/>
        <v>0</v>
      </c>
    </row>
    <row r="304" spans="1:17" x14ac:dyDescent="0.3">
      <c r="A304" s="1" t="s">
        <v>332</v>
      </c>
      <c r="B304" s="1">
        <v>2</v>
      </c>
      <c r="C304" s="1" t="s">
        <v>12</v>
      </c>
      <c r="D304" s="1">
        <v>81788</v>
      </c>
      <c r="E304" s="1">
        <v>10200</v>
      </c>
      <c r="F304" s="2">
        <v>45940</v>
      </c>
      <c r="G304" s="2">
        <v>45940</v>
      </c>
      <c r="H304" s="1">
        <v>0</v>
      </c>
      <c r="I304" s="1" t="s">
        <v>17</v>
      </c>
      <c r="J304" s="1" t="s">
        <v>22</v>
      </c>
      <c r="K304" s="1" t="s">
        <v>54</v>
      </c>
      <c r="L304" s="1">
        <f t="shared" si="24"/>
        <v>0</v>
      </c>
      <c r="M304" s="1" t="str">
        <f t="shared" si="25"/>
        <v>On Time</v>
      </c>
      <c r="N304" s="1" t="str">
        <f t="shared" si="26"/>
        <v>Low</v>
      </c>
      <c r="O304" s="1">
        <f t="shared" si="27"/>
        <v>0</v>
      </c>
      <c r="P304" s="1" t="str">
        <f t="shared" si="28"/>
        <v>Very High Loan</v>
      </c>
      <c r="Q304" s="1">
        <f t="shared" si="29"/>
        <v>1</v>
      </c>
    </row>
    <row r="305" spans="1:17" x14ac:dyDescent="0.3">
      <c r="A305" s="1" t="s">
        <v>333</v>
      </c>
      <c r="B305" s="1">
        <v>2</v>
      </c>
      <c r="C305" s="1" t="s">
        <v>12</v>
      </c>
      <c r="D305" s="1">
        <v>58827</v>
      </c>
      <c r="E305" s="1">
        <v>6500</v>
      </c>
      <c r="F305" s="2">
        <v>45960</v>
      </c>
      <c r="G305" s="2">
        <v>45975</v>
      </c>
      <c r="H305" s="1">
        <v>15</v>
      </c>
      <c r="I305" s="1" t="s">
        <v>28</v>
      </c>
      <c r="J305" s="1" t="s">
        <v>14</v>
      </c>
      <c r="K305" s="1" t="s">
        <v>54</v>
      </c>
      <c r="L305" s="1">
        <f t="shared" si="24"/>
        <v>1</v>
      </c>
      <c r="M305" s="1" t="str">
        <f t="shared" si="25"/>
        <v>Delayed</v>
      </c>
      <c r="N305" s="1" t="str">
        <f t="shared" si="26"/>
        <v>High</v>
      </c>
      <c r="O305" s="1">
        <f t="shared" si="27"/>
        <v>1</v>
      </c>
      <c r="P305" s="1" t="str">
        <f t="shared" si="28"/>
        <v>Mid Loan</v>
      </c>
      <c r="Q305" s="1">
        <f t="shared" si="29"/>
        <v>0</v>
      </c>
    </row>
    <row r="306" spans="1:17" x14ac:dyDescent="0.3">
      <c r="A306" s="1" t="s">
        <v>334</v>
      </c>
      <c r="B306" s="1">
        <v>3</v>
      </c>
      <c r="C306" s="1" t="s">
        <v>20</v>
      </c>
      <c r="D306" s="1">
        <v>25655</v>
      </c>
      <c r="E306" s="1">
        <v>1100</v>
      </c>
      <c r="F306" s="2">
        <v>45952</v>
      </c>
      <c r="G306" s="2">
        <v>45955</v>
      </c>
      <c r="H306" s="1">
        <v>3</v>
      </c>
      <c r="I306" s="1" t="s">
        <v>21</v>
      </c>
      <c r="J306" s="1" t="s">
        <v>14</v>
      </c>
      <c r="K306" s="1" t="s">
        <v>54</v>
      </c>
      <c r="L306" s="1">
        <f t="shared" si="24"/>
        <v>1</v>
      </c>
      <c r="M306" s="1" t="str">
        <f t="shared" si="25"/>
        <v>Delayed</v>
      </c>
      <c r="N306" s="1" t="str">
        <f t="shared" si="26"/>
        <v>Medium</v>
      </c>
      <c r="O306" s="1">
        <f t="shared" si="27"/>
        <v>1</v>
      </c>
      <c r="P306" s="1" t="str">
        <f t="shared" si="28"/>
        <v>Low Loan</v>
      </c>
      <c r="Q306" s="1">
        <f t="shared" si="29"/>
        <v>0</v>
      </c>
    </row>
    <row r="307" spans="1:17" x14ac:dyDescent="0.3">
      <c r="A307" s="1" t="s">
        <v>335</v>
      </c>
      <c r="B307" s="1">
        <v>3</v>
      </c>
      <c r="C307" s="1" t="s">
        <v>12</v>
      </c>
      <c r="D307" s="1">
        <v>64859</v>
      </c>
      <c r="E307" s="1">
        <v>5900</v>
      </c>
      <c r="F307" s="2">
        <v>45958</v>
      </c>
      <c r="G307" s="2">
        <v>45961</v>
      </c>
      <c r="H307" s="1">
        <v>3</v>
      </c>
      <c r="I307" s="1" t="s">
        <v>21</v>
      </c>
      <c r="J307" s="1" t="s">
        <v>14</v>
      </c>
      <c r="K307" s="1" t="s">
        <v>32</v>
      </c>
      <c r="L307" s="1">
        <f t="shared" si="24"/>
        <v>1</v>
      </c>
      <c r="M307" s="1" t="str">
        <f t="shared" si="25"/>
        <v>Delayed</v>
      </c>
      <c r="N307" s="1" t="str">
        <f t="shared" si="26"/>
        <v>Medium</v>
      </c>
      <c r="O307" s="1">
        <f t="shared" si="27"/>
        <v>1</v>
      </c>
      <c r="P307" s="1" t="str">
        <f t="shared" si="28"/>
        <v>High Loan</v>
      </c>
      <c r="Q307" s="1">
        <f t="shared" si="29"/>
        <v>0</v>
      </c>
    </row>
    <row r="308" spans="1:17" x14ac:dyDescent="0.3">
      <c r="A308" s="1" t="s">
        <v>336</v>
      </c>
      <c r="B308" s="1">
        <v>2</v>
      </c>
      <c r="C308" s="1" t="s">
        <v>30</v>
      </c>
      <c r="D308" s="1">
        <v>73625</v>
      </c>
      <c r="E308" s="1">
        <v>9200</v>
      </c>
      <c r="F308" s="2">
        <v>45937</v>
      </c>
      <c r="G308" s="2">
        <v>45937</v>
      </c>
      <c r="H308" s="1">
        <v>0</v>
      </c>
      <c r="I308" s="1" t="s">
        <v>28</v>
      </c>
      <c r="J308" s="1" t="s">
        <v>22</v>
      </c>
      <c r="K308" s="1" t="s">
        <v>15</v>
      </c>
      <c r="L308" s="1">
        <f t="shared" si="24"/>
        <v>0</v>
      </c>
      <c r="M308" s="1" t="str">
        <f t="shared" si="25"/>
        <v>On Time</v>
      </c>
      <c r="N308" s="1" t="str">
        <f t="shared" si="26"/>
        <v>Low</v>
      </c>
      <c r="O308" s="1">
        <f t="shared" si="27"/>
        <v>0</v>
      </c>
      <c r="P308" s="1" t="str">
        <f t="shared" si="28"/>
        <v>High Loan</v>
      </c>
      <c r="Q308" s="1">
        <f t="shared" si="29"/>
        <v>1</v>
      </c>
    </row>
    <row r="309" spans="1:17" x14ac:dyDescent="0.3">
      <c r="A309" s="1" t="s">
        <v>337</v>
      </c>
      <c r="B309" s="1">
        <v>2</v>
      </c>
      <c r="C309" s="1" t="s">
        <v>30</v>
      </c>
      <c r="D309" s="1">
        <v>72098</v>
      </c>
      <c r="E309" s="1">
        <v>4500</v>
      </c>
      <c r="F309" s="2">
        <v>45933</v>
      </c>
      <c r="G309" s="2">
        <v>45933</v>
      </c>
      <c r="H309" s="1">
        <v>0</v>
      </c>
      <c r="I309" s="1" t="s">
        <v>28</v>
      </c>
      <c r="J309" s="1" t="s">
        <v>22</v>
      </c>
      <c r="K309" s="1" t="s">
        <v>18</v>
      </c>
      <c r="L309" s="1">
        <f t="shared" si="24"/>
        <v>0</v>
      </c>
      <c r="M309" s="1" t="str">
        <f t="shared" si="25"/>
        <v>On Time</v>
      </c>
      <c r="N309" s="1" t="str">
        <f t="shared" si="26"/>
        <v>Low</v>
      </c>
      <c r="O309" s="1">
        <f t="shared" si="27"/>
        <v>0</v>
      </c>
      <c r="P309" s="1" t="str">
        <f t="shared" si="28"/>
        <v>High Loan</v>
      </c>
      <c r="Q309" s="1">
        <f t="shared" si="29"/>
        <v>1</v>
      </c>
    </row>
    <row r="310" spans="1:17" x14ac:dyDescent="0.3">
      <c r="A310" s="1" t="s">
        <v>338</v>
      </c>
      <c r="B310" s="1">
        <v>3</v>
      </c>
      <c r="C310" s="1" t="s">
        <v>20</v>
      </c>
      <c r="D310" s="1">
        <v>35251</v>
      </c>
      <c r="E310" s="1">
        <v>1800</v>
      </c>
      <c r="F310" s="2">
        <v>45953</v>
      </c>
      <c r="G310" s="2">
        <v>45998</v>
      </c>
      <c r="H310" s="1">
        <v>45</v>
      </c>
      <c r="I310" s="1" t="s">
        <v>13</v>
      </c>
      <c r="J310" s="1" t="s">
        <v>14</v>
      </c>
      <c r="K310" s="1" t="s">
        <v>54</v>
      </c>
      <c r="L310" s="1">
        <f t="shared" si="24"/>
        <v>1</v>
      </c>
      <c r="M310" s="1" t="str">
        <f t="shared" si="25"/>
        <v>Delayed</v>
      </c>
      <c r="N310" s="1" t="str">
        <f t="shared" si="26"/>
        <v>High</v>
      </c>
      <c r="O310" s="1">
        <f t="shared" si="27"/>
        <v>1</v>
      </c>
      <c r="P310" s="1" t="str">
        <f t="shared" si="28"/>
        <v>Low Loan</v>
      </c>
      <c r="Q310" s="1">
        <f t="shared" si="29"/>
        <v>0</v>
      </c>
    </row>
    <row r="311" spans="1:17" x14ac:dyDescent="0.3">
      <c r="A311" s="1" t="s">
        <v>339</v>
      </c>
      <c r="B311" s="1">
        <v>2</v>
      </c>
      <c r="C311" s="1" t="s">
        <v>20</v>
      </c>
      <c r="D311" s="1">
        <v>20526</v>
      </c>
      <c r="E311" s="1">
        <v>2100</v>
      </c>
      <c r="F311" s="2">
        <v>45958</v>
      </c>
      <c r="G311" s="2">
        <v>45958</v>
      </c>
      <c r="H311" s="1">
        <v>0</v>
      </c>
      <c r="I311" s="1" t="s">
        <v>13</v>
      </c>
      <c r="J311" s="1" t="s">
        <v>14</v>
      </c>
      <c r="K311" s="1" t="s">
        <v>56</v>
      </c>
      <c r="L311" s="1">
        <f t="shared" si="24"/>
        <v>0</v>
      </c>
      <c r="M311" s="1" t="str">
        <f t="shared" si="25"/>
        <v>On Time</v>
      </c>
      <c r="N311" s="1" t="str">
        <f t="shared" si="26"/>
        <v>Low</v>
      </c>
      <c r="O311" s="1">
        <f t="shared" si="27"/>
        <v>1</v>
      </c>
      <c r="P311" s="1" t="str">
        <f t="shared" si="28"/>
        <v>Low Loan</v>
      </c>
      <c r="Q311" s="1">
        <f t="shared" si="29"/>
        <v>1</v>
      </c>
    </row>
    <row r="312" spans="1:17" x14ac:dyDescent="0.3">
      <c r="A312" s="1" t="s">
        <v>340</v>
      </c>
      <c r="B312" s="1">
        <v>2</v>
      </c>
      <c r="C312" s="1" t="s">
        <v>30</v>
      </c>
      <c r="D312" s="1">
        <v>88760</v>
      </c>
      <c r="E312" s="1">
        <v>5900</v>
      </c>
      <c r="F312" s="2">
        <v>45944</v>
      </c>
      <c r="G312" s="2">
        <v>45989</v>
      </c>
      <c r="H312" s="1">
        <v>45</v>
      </c>
      <c r="I312" s="1" t="s">
        <v>17</v>
      </c>
      <c r="J312" s="1" t="s">
        <v>22</v>
      </c>
      <c r="K312" s="1" t="s">
        <v>26</v>
      </c>
      <c r="L312" s="1">
        <f t="shared" si="24"/>
        <v>1</v>
      </c>
      <c r="M312" s="1" t="str">
        <f t="shared" si="25"/>
        <v>Delayed</v>
      </c>
      <c r="N312" s="1" t="str">
        <f t="shared" si="26"/>
        <v>High</v>
      </c>
      <c r="O312" s="1">
        <f t="shared" si="27"/>
        <v>0</v>
      </c>
      <c r="P312" s="1" t="str">
        <f t="shared" si="28"/>
        <v>Very High Loan</v>
      </c>
      <c r="Q312" s="1">
        <f t="shared" si="29"/>
        <v>0</v>
      </c>
    </row>
    <row r="313" spans="1:17" x14ac:dyDescent="0.3">
      <c r="A313" s="1" t="s">
        <v>341</v>
      </c>
      <c r="B313" s="1">
        <v>1</v>
      </c>
      <c r="C313" s="1" t="s">
        <v>12</v>
      </c>
      <c r="D313" s="1">
        <v>67837</v>
      </c>
      <c r="E313" s="1">
        <v>4000</v>
      </c>
      <c r="F313" s="2">
        <v>45954</v>
      </c>
      <c r="G313" s="2">
        <v>45954</v>
      </c>
      <c r="H313" s="1">
        <v>0</v>
      </c>
      <c r="I313" s="1" t="s">
        <v>21</v>
      </c>
      <c r="J313" s="1" t="s">
        <v>22</v>
      </c>
      <c r="K313" s="1" t="s">
        <v>32</v>
      </c>
      <c r="L313" s="1">
        <f t="shared" si="24"/>
        <v>0</v>
      </c>
      <c r="M313" s="1" t="str">
        <f t="shared" si="25"/>
        <v>On Time</v>
      </c>
      <c r="N313" s="1" t="str">
        <f t="shared" si="26"/>
        <v>Low</v>
      </c>
      <c r="O313" s="1">
        <f t="shared" si="27"/>
        <v>0</v>
      </c>
      <c r="P313" s="1" t="str">
        <f t="shared" si="28"/>
        <v>High Loan</v>
      </c>
      <c r="Q313" s="1">
        <f t="shared" si="29"/>
        <v>1</v>
      </c>
    </row>
    <row r="314" spans="1:17" x14ac:dyDescent="0.3">
      <c r="A314" s="1" t="s">
        <v>342</v>
      </c>
      <c r="B314" s="1">
        <v>1</v>
      </c>
      <c r="C314" s="1" t="s">
        <v>20</v>
      </c>
      <c r="D314" s="1">
        <v>31536</v>
      </c>
      <c r="E314" s="1">
        <v>1600</v>
      </c>
      <c r="F314" s="2">
        <v>45940</v>
      </c>
      <c r="G314" s="2">
        <v>45940</v>
      </c>
      <c r="H314" s="1">
        <v>0</v>
      </c>
      <c r="I314" s="1" t="s">
        <v>28</v>
      </c>
      <c r="J314" s="1" t="s">
        <v>22</v>
      </c>
      <c r="K314" s="1" t="s">
        <v>34</v>
      </c>
      <c r="L314" s="1">
        <f t="shared" si="24"/>
        <v>0</v>
      </c>
      <c r="M314" s="1" t="str">
        <f t="shared" si="25"/>
        <v>On Time</v>
      </c>
      <c r="N314" s="1" t="str">
        <f t="shared" si="26"/>
        <v>Low</v>
      </c>
      <c r="O314" s="1">
        <f t="shared" si="27"/>
        <v>0</v>
      </c>
      <c r="P314" s="1" t="str">
        <f t="shared" si="28"/>
        <v>Low Loan</v>
      </c>
      <c r="Q314" s="1">
        <f t="shared" si="29"/>
        <v>1</v>
      </c>
    </row>
    <row r="315" spans="1:17" x14ac:dyDescent="0.3">
      <c r="A315" s="1" t="s">
        <v>343</v>
      </c>
      <c r="B315" s="1">
        <v>3</v>
      </c>
      <c r="C315" s="1" t="s">
        <v>30</v>
      </c>
      <c r="D315" s="1">
        <v>48541</v>
      </c>
      <c r="E315" s="1">
        <v>2200</v>
      </c>
      <c r="F315" s="2">
        <v>45946</v>
      </c>
      <c r="G315" s="2">
        <v>45946</v>
      </c>
      <c r="H315" s="1">
        <v>0</v>
      </c>
      <c r="I315" s="1" t="s">
        <v>28</v>
      </c>
      <c r="J315" s="1" t="s">
        <v>22</v>
      </c>
      <c r="K315" s="1" t="s">
        <v>32</v>
      </c>
      <c r="L315" s="1">
        <f t="shared" si="24"/>
        <v>0</v>
      </c>
      <c r="M315" s="1" t="str">
        <f t="shared" si="25"/>
        <v>On Time</v>
      </c>
      <c r="N315" s="1" t="str">
        <f t="shared" si="26"/>
        <v>Low</v>
      </c>
      <c r="O315" s="1">
        <f t="shared" si="27"/>
        <v>0</v>
      </c>
      <c r="P315" s="1" t="str">
        <f t="shared" si="28"/>
        <v>Mid Loan</v>
      </c>
      <c r="Q315" s="1">
        <f t="shared" si="29"/>
        <v>1</v>
      </c>
    </row>
    <row r="316" spans="1:17" x14ac:dyDescent="0.3">
      <c r="A316" s="1" t="s">
        <v>344</v>
      </c>
      <c r="B316" s="1">
        <v>3</v>
      </c>
      <c r="C316" s="1" t="s">
        <v>12</v>
      </c>
      <c r="D316" s="1">
        <v>99083</v>
      </c>
      <c r="E316" s="1">
        <v>6600</v>
      </c>
      <c r="F316" s="2">
        <v>45946</v>
      </c>
      <c r="G316" s="2">
        <v>45946</v>
      </c>
      <c r="H316" s="1">
        <v>0</v>
      </c>
      <c r="I316" s="1" t="s">
        <v>28</v>
      </c>
      <c r="J316" s="1" t="s">
        <v>22</v>
      </c>
      <c r="K316" s="1" t="s">
        <v>56</v>
      </c>
      <c r="L316" s="1">
        <f t="shared" si="24"/>
        <v>0</v>
      </c>
      <c r="M316" s="1" t="str">
        <f t="shared" si="25"/>
        <v>On Time</v>
      </c>
      <c r="N316" s="1" t="str">
        <f t="shared" si="26"/>
        <v>Low</v>
      </c>
      <c r="O316" s="1">
        <f t="shared" si="27"/>
        <v>0</v>
      </c>
      <c r="P316" s="1" t="str">
        <f t="shared" si="28"/>
        <v>Very High Loan</v>
      </c>
      <c r="Q316" s="1">
        <f t="shared" si="29"/>
        <v>1</v>
      </c>
    </row>
    <row r="317" spans="1:17" x14ac:dyDescent="0.3">
      <c r="A317" s="1" t="s">
        <v>345</v>
      </c>
      <c r="B317" s="1">
        <v>2</v>
      </c>
      <c r="C317" s="1" t="s">
        <v>12</v>
      </c>
      <c r="D317" s="1">
        <v>71027</v>
      </c>
      <c r="E317" s="1">
        <v>6500</v>
      </c>
      <c r="F317" s="2">
        <v>45952</v>
      </c>
      <c r="G317" s="2">
        <v>45982</v>
      </c>
      <c r="H317" s="1">
        <v>30</v>
      </c>
      <c r="I317" s="1" t="s">
        <v>28</v>
      </c>
      <c r="J317" s="1" t="s">
        <v>22</v>
      </c>
      <c r="K317" s="1" t="s">
        <v>70</v>
      </c>
      <c r="L317" s="1">
        <f t="shared" si="24"/>
        <v>1</v>
      </c>
      <c r="M317" s="1" t="str">
        <f t="shared" si="25"/>
        <v>Delayed</v>
      </c>
      <c r="N317" s="1" t="str">
        <f t="shared" si="26"/>
        <v>High</v>
      </c>
      <c r="O317" s="1">
        <f t="shared" si="27"/>
        <v>0</v>
      </c>
      <c r="P317" s="1" t="str">
        <f t="shared" si="28"/>
        <v>High Loan</v>
      </c>
      <c r="Q317" s="1">
        <f t="shared" si="29"/>
        <v>0</v>
      </c>
    </row>
    <row r="318" spans="1:17" x14ac:dyDescent="0.3">
      <c r="A318" s="1" t="s">
        <v>346</v>
      </c>
      <c r="B318" s="1">
        <v>2</v>
      </c>
      <c r="C318" s="1" t="s">
        <v>12</v>
      </c>
      <c r="D318" s="1">
        <v>54531</v>
      </c>
      <c r="E318" s="1">
        <v>2400</v>
      </c>
      <c r="F318" s="2">
        <v>45940</v>
      </c>
      <c r="G318" s="2">
        <v>45940</v>
      </c>
      <c r="H318" s="1">
        <v>0</v>
      </c>
      <c r="I318" s="1" t="s">
        <v>28</v>
      </c>
      <c r="J318" s="1" t="s">
        <v>22</v>
      </c>
      <c r="K318" s="1" t="s">
        <v>18</v>
      </c>
      <c r="L318" s="1">
        <f t="shared" si="24"/>
        <v>0</v>
      </c>
      <c r="M318" s="1" t="str">
        <f t="shared" si="25"/>
        <v>On Time</v>
      </c>
      <c r="N318" s="1" t="str">
        <f t="shared" si="26"/>
        <v>Low</v>
      </c>
      <c r="O318" s="1">
        <f t="shared" si="27"/>
        <v>0</v>
      </c>
      <c r="P318" s="1" t="str">
        <f t="shared" si="28"/>
        <v>Mid Loan</v>
      </c>
      <c r="Q318" s="1">
        <f t="shared" si="29"/>
        <v>1</v>
      </c>
    </row>
    <row r="319" spans="1:17" x14ac:dyDescent="0.3">
      <c r="A319" s="1" t="s">
        <v>347</v>
      </c>
      <c r="B319" s="1">
        <v>1</v>
      </c>
      <c r="C319" s="1" t="s">
        <v>20</v>
      </c>
      <c r="D319" s="1">
        <v>28712</v>
      </c>
      <c r="E319" s="1">
        <v>1600</v>
      </c>
      <c r="F319" s="2">
        <v>45955</v>
      </c>
      <c r="G319" s="2">
        <v>45955</v>
      </c>
      <c r="H319" s="1">
        <v>0</v>
      </c>
      <c r="I319" s="1" t="s">
        <v>13</v>
      </c>
      <c r="J319" s="1" t="s">
        <v>22</v>
      </c>
      <c r="K319" s="1" t="s">
        <v>70</v>
      </c>
      <c r="L319" s="1">
        <f t="shared" si="24"/>
        <v>0</v>
      </c>
      <c r="M319" s="1" t="str">
        <f t="shared" si="25"/>
        <v>On Time</v>
      </c>
      <c r="N319" s="1" t="str">
        <f t="shared" si="26"/>
        <v>Low</v>
      </c>
      <c r="O319" s="1">
        <f t="shared" si="27"/>
        <v>0</v>
      </c>
      <c r="P319" s="1" t="str">
        <f t="shared" si="28"/>
        <v>Low Loan</v>
      </c>
      <c r="Q319" s="1">
        <f t="shared" si="29"/>
        <v>1</v>
      </c>
    </row>
    <row r="320" spans="1:17" x14ac:dyDescent="0.3">
      <c r="A320" s="1" t="s">
        <v>348</v>
      </c>
      <c r="B320" s="1">
        <v>1</v>
      </c>
      <c r="C320" s="1" t="s">
        <v>20</v>
      </c>
      <c r="D320" s="1">
        <v>85455</v>
      </c>
      <c r="E320" s="1">
        <v>10700</v>
      </c>
      <c r="F320" s="2">
        <v>45943</v>
      </c>
      <c r="G320" s="2">
        <v>45943</v>
      </c>
      <c r="H320" s="1">
        <v>0</v>
      </c>
      <c r="I320" s="1" t="s">
        <v>17</v>
      </c>
      <c r="J320" s="1" t="s">
        <v>22</v>
      </c>
      <c r="K320" s="1" t="s">
        <v>44</v>
      </c>
      <c r="L320" s="1">
        <f t="shared" si="24"/>
        <v>0</v>
      </c>
      <c r="M320" s="1" t="str">
        <f t="shared" si="25"/>
        <v>On Time</v>
      </c>
      <c r="N320" s="1" t="str">
        <f t="shared" si="26"/>
        <v>Low</v>
      </c>
      <c r="O320" s="1">
        <f t="shared" si="27"/>
        <v>0</v>
      </c>
      <c r="P320" s="1" t="str">
        <f t="shared" si="28"/>
        <v>Very High Loan</v>
      </c>
      <c r="Q320" s="1">
        <f t="shared" si="29"/>
        <v>1</v>
      </c>
    </row>
    <row r="321" spans="1:17" x14ac:dyDescent="0.3">
      <c r="A321" s="1" t="s">
        <v>349</v>
      </c>
      <c r="B321" s="1">
        <v>2</v>
      </c>
      <c r="C321" s="1" t="s">
        <v>20</v>
      </c>
      <c r="D321" s="1">
        <v>94744</v>
      </c>
      <c r="E321" s="1">
        <v>6300</v>
      </c>
      <c r="F321" s="2">
        <v>45936</v>
      </c>
      <c r="G321" s="2">
        <v>45936</v>
      </c>
      <c r="H321" s="1">
        <v>0</v>
      </c>
      <c r="I321" s="1" t="s">
        <v>28</v>
      </c>
      <c r="J321" s="1" t="s">
        <v>22</v>
      </c>
      <c r="K321" s="1" t="s">
        <v>18</v>
      </c>
      <c r="L321" s="1">
        <f t="shared" si="24"/>
        <v>0</v>
      </c>
      <c r="M321" s="1" t="str">
        <f t="shared" si="25"/>
        <v>On Time</v>
      </c>
      <c r="N321" s="1" t="str">
        <f t="shared" si="26"/>
        <v>Low</v>
      </c>
      <c r="O321" s="1">
        <f t="shared" si="27"/>
        <v>0</v>
      </c>
      <c r="P321" s="1" t="str">
        <f t="shared" si="28"/>
        <v>Very High Loan</v>
      </c>
      <c r="Q321" s="1">
        <f t="shared" si="29"/>
        <v>1</v>
      </c>
    </row>
    <row r="322" spans="1:17" x14ac:dyDescent="0.3">
      <c r="A322" s="1" t="s">
        <v>350</v>
      </c>
      <c r="B322" s="1">
        <v>2</v>
      </c>
      <c r="C322" s="1" t="s">
        <v>12</v>
      </c>
      <c r="D322" s="1">
        <v>25109</v>
      </c>
      <c r="E322" s="1">
        <v>1300</v>
      </c>
      <c r="F322" s="2">
        <v>45942</v>
      </c>
      <c r="G322" s="2">
        <v>45942</v>
      </c>
      <c r="H322" s="1">
        <v>0</v>
      </c>
      <c r="I322" s="1" t="s">
        <v>28</v>
      </c>
      <c r="J322" s="1" t="s">
        <v>14</v>
      </c>
      <c r="K322" s="1" t="s">
        <v>18</v>
      </c>
      <c r="L322" s="1">
        <f t="shared" si="24"/>
        <v>0</v>
      </c>
      <c r="M322" s="1" t="str">
        <f t="shared" si="25"/>
        <v>On Time</v>
      </c>
      <c r="N322" s="1" t="str">
        <f t="shared" si="26"/>
        <v>Low</v>
      </c>
      <c r="O322" s="1">
        <f t="shared" si="27"/>
        <v>1</v>
      </c>
      <c r="P322" s="1" t="str">
        <f t="shared" si="28"/>
        <v>Low Loan</v>
      </c>
      <c r="Q322" s="1">
        <f t="shared" si="29"/>
        <v>1</v>
      </c>
    </row>
    <row r="323" spans="1:17" x14ac:dyDescent="0.3">
      <c r="A323" s="1" t="s">
        <v>351</v>
      </c>
      <c r="B323" s="1">
        <v>3</v>
      </c>
      <c r="C323" s="1" t="s">
        <v>20</v>
      </c>
      <c r="D323" s="1">
        <v>69268</v>
      </c>
      <c r="E323" s="1">
        <v>6300</v>
      </c>
      <c r="F323" s="2">
        <v>45939</v>
      </c>
      <c r="G323" s="2">
        <v>45939</v>
      </c>
      <c r="H323" s="1">
        <v>0</v>
      </c>
      <c r="I323" s="1" t="s">
        <v>21</v>
      </c>
      <c r="J323" s="1" t="s">
        <v>22</v>
      </c>
      <c r="K323" s="1" t="s">
        <v>26</v>
      </c>
      <c r="L323" s="1">
        <f t="shared" ref="L323:L386" si="30">IF(H323&gt;0,1,0)</f>
        <v>0</v>
      </c>
      <c r="M323" s="1" t="str">
        <f t="shared" ref="M323:M386" si="31">IF(H323=0,"On Time","Delayed")</f>
        <v>On Time</v>
      </c>
      <c r="N323" s="1" t="str">
        <f t="shared" ref="N323:N386" si="32">_xlfn.IFS(H323=0,"Low",H323&lt;=14,"Medium",H323&gt;14,"High")</f>
        <v>Low</v>
      </c>
      <c r="O323" s="1">
        <f t="shared" ref="O323:O386" si="33">IF(J323="Yes",1,0)</f>
        <v>0</v>
      </c>
      <c r="P323" s="1" t="str">
        <f t="shared" ref="P323:P386" si="34">_xlfn.IFS(
 D323&lt;=$V$16,"Low Loan",
 D323&lt;=$V$17,"Mid Loan",
 D323&lt;=$V$18,"High Loan",
 TRUE,"Very High Loan"
)</f>
        <v>High Loan</v>
      </c>
      <c r="Q323" s="1">
        <f t="shared" ref="Q323:Q386" si="35">IF(H323=0,1,0)</f>
        <v>1</v>
      </c>
    </row>
    <row r="324" spans="1:17" x14ac:dyDescent="0.3">
      <c r="A324" s="1" t="s">
        <v>352</v>
      </c>
      <c r="B324" s="1">
        <v>2</v>
      </c>
      <c r="C324" s="1" t="s">
        <v>20</v>
      </c>
      <c r="D324" s="1">
        <v>74615</v>
      </c>
      <c r="E324" s="1">
        <v>9300</v>
      </c>
      <c r="F324" s="2">
        <v>45943</v>
      </c>
      <c r="G324" s="2">
        <v>45958</v>
      </c>
      <c r="H324" s="1">
        <v>15</v>
      </c>
      <c r="I324" s="1" t="s">
        <v>28</v>
      </c>
      <c r="J324" s="1" t="s">
        <v>22</v>
      </c>
      <c r="K324" s="1" t="s">
        <v>44</v>
      </c>
      <c r="L324" s="1">
        <f t="shared" si="30"/>
        <v>1</v>
      </c>
      <c r="M324" s="1" t="str">
        <f t="shared" si="31"/>
        <v>Delayed</v>
      </c>
      <c r="N324" s="1" t="str">
        <f t="shared" si="32"/>
        <v>High</v>
      </c>
      <c r="O324" s="1">
        <f t="shared" si="33"/>
        <v>0</v>
      </c>
      <c r="P324" s="1" t="str">
        <f t="shared" si="34"/>
        <v>High Loan</v>
      </c>
      <c r="Q324" s="1">
        <f t="shared" si="35"/>
        <v>0</v>
      </c>
    </row>
    <row r="325" spans="1:17" x14ac:dyDescent="0.3">
      <c r="A325" s="1" t="s">
        <v>353</v>
      </c>
      <c r="B325" s="1">
        <v>2</v>
      </c>
      <c r="C325" s="1" t="s">
        <v>20</v>
      </c>
      <c r="D325" s="1">
        <v>49759</v>
      </c>
      <c r="E325" s="1">
        <v>2400</v>
      </c>
      <c r="F325" s="2">
        <v>45934</v>
      </c>
      <c r="G325" s="2">
        <v>45934</v>
      </c>
      <c r="H325" s="1">
        <v>0</v>
      </c>
      <c r="I325" s="1" t="s">
        <v>13</v>
      </c>
      <c r="J325" s="1" t="s">
        <v>22</v>
      </c>
      <c r="K325" s="1" t="s">
        <v>70</v>
      </c>
      <c r="L325" s="1">
        <f t="shared" si="30"/>
        <v>0</v>
      </c>
      <c r="M325" s="1" t="str">
        <f t="shared" si="31"/>
        <v>On Time</v>
      </c>
      <c r="N325" s="1" t="str">
        <f t="shared" si="32"/>
        <v>Low</v>
      </c>
      <c r="O325" s="1">
        <f t="shared" si="33"/>
        <v>0</v>
      </c>
      <c r="P325" s="1" t="str">
        <f t="shared" si="34"/>
        <v>Mid Loan</v>
      </c>
      <c r="Q325" s="1">
        <f t="shared" si="35"/>
        <v>1</v>
      </c>
    </row>
    <row r="326" spans="1:17" x14ac:dyDescent="0.3">
      <c r="A326" s="1" t="s">
        <v>354</v>
      </c>
      <c r="B326" s="1">
        <v>3</v>
      </c>
      <c r="C326" s="1" t="s">
        <v>12</v>
      </c>
      <c r="D326" s="1">
        <v>80112</v>
      </c>
      <c r="E326" s="1">
        <v>6700</v>
      </c>
      <c r="F326" s="2">
        <v>45954</v>
      </c>
      <c r="G326" s="2">
        <v>45954</v>
      </c>
      <c r="H326" s="1">
        <v>0</v>
      </c>
      <c r="I326" s="1" t="s">
        <v>21</v>
      </c>
      <c r="J326" s="1" t="s">
        <v>14</v>
      </c>
      <c r="K326" s="1" t="s">
        <v>23</v>
      </c>
      <c r="L326" s="1">
        <f t="shared" si="30"/>
        <v>0</v>
      </c>
      <c r="M326" s="1" t="str">
        <f t="shared" si="31"/>
        <v>On Time</v>
      </c>
      <c r="N326" s="1" t="str">
        <f t="shared" si="32"/>
        <v>Low</v>
      </c>
      <c r="O326" s="1">
        <f t="shared" si="33"/>
        <v>1</v>
      </c>
      <c r="P326" s="1" t="str">
        <f t="shared" si="34"/>
        <v>High Loan</v>
      </c>
      <c r="Q326" s="1">
        <f t="shared" si="35"/>
        <v>1</v>
      </c>
    </row>
    <row r="327" spans="1:17" x14ac:dyDescent="0.3">
      <c r="A327" s="1" t="s">
        <v>355</v>
      </c>
      <c r="B327" s="1">
        <v>3</v>
      </c>
      <c r="C327" s="1" t="s">
        <v>30</v>
      </c>
      <c r="D327" s="1">
        <v>46589</v>
      </c>
      <c r="E327" s="1">
        <v>2500</v>
      </c>
      <c r="F327" s="2">
        <v>45941</v>
      </c>
      <c r="G327" s="2">
        <v>45941</v>
      </c>
      <c r="H327" s="1">
        <v>0</v>
      </c>
      <c r="I327" s="1" t="s">
        <v>21</v>
      </c>
      <c r="J327" s="1" t="s">
        <v>22</v>
      </c>
      <c r="K327" s="1" t="s">
        <v>15</v>
      </c>
      <c r="L327" s="1">
        <f t="shared" si="30"/>
        <v>0</v>
      </c>
      <c r="M327" s="1" t="str">
        <f t="shared" si="31"/>
        <v>On Time</v>
      </c>
      <c r="N327" s="1" t="str">
        <f t="shared" si="32"/>
        <v>Low</v>
      </c>
      <c r="O327" s="1">
        <f t="shared" si="33"/>
        <v>0</v>
      </c>
      <c r="P327" s="1" t="str">
        <f t="shared" si="34"/>
        <v>Mid Loan</v>
      </c>
      <c r="Q327" s="1">
        <f t="shared" si="35"/>
        <v>1</v>
      </c>
    </row>
    <row r="328" spans="1:17" x14ac:dyDescent="0.3">
      <c r="A328" s="1" t="s">
        <v>356</v>
      </c>
      <c r="B328" s="1">
        <v>2</v>
      </c>
      <c r="C328" s="1" t="s">
        <v>20</v>
      </c>
      <c r="D328" s="1">
        <v>50015</v>
      </c>
      <c r="E328" s="1">
        <v>3600</v>
      </c>
      <c r="F328" s="2">
        <v>45950</v>
      </c>
      <c r="G328" s="2">
        <v>45950</v>
      </c>
      <c r="H328" s="1">
        <v>0</v>
      </c>
      <c r="I328" s="1" t="s">
        <v>21</v>
      </c>
      <c r="J328" s="1" t="s">
        <v>22</v>
      </c>
      <c r="K328" s="1" t="s">
        <v>32</v>
      </c>
      <c r="L328" s="1">
        <f t="shared" si="30"/>
        <v>0</v>
      </c>
      <c r="M328" s="1" t="str">
        <f t="shared" si="31"/>
        <v>On Time</v>
      </c>
      <c r="N328" s="1" t="str">
        <f t="shared" si="32"/>
        <v>Low</v>
      </c>
      <c r="O328" s="1">
        <f t="shared" si="33"/>
        <v>0</v>
      </c>
      <c r="P328" s="1" t="str">
        <f t="shared" si="34"/>
        <v>Mid Loan</v>
      </c>
      <c r="Q328" s="1">
        <f t="shared" si="35"/>
        <v>1</v>
      </c>
    </row>
    <row r="329" spans="1:17" x14ac:dyDescent="0.3">
      <c r="A329" s="1" t="s">
        <v>357</v>
      </c>
      <c r="B329" s="1">
        <v>2</v>
      </c>
      <c r="C329" s="1" t="s">
        <v>20</v>
      </c>
      <c r="D329" s="1">
        <v>49009</v>
      </c>
      <c r="E329" s="1">
        <v>2500</v>
      </c>
      <c r="F329" s="2">
        <v>45948</v>
      </c>
      <c r="G329" s="2">
        <v>46008</v>
      </c>
      <c r="H329" s="1">
        <v>60</v>
      </c>
      <c r="I329" s="1" t="s">
        <v>28</v>
      </c>
      <c r="J329" s="1" t="s">
        <v>14</v>
      </c>
      <c r="K329" s="1" t="s">
        <v>34</v>
      </c>
      <c r="L329" s="1">
        <f t="shared" si="30"/>
        <v>1</v>
      </c>
      <c r="M329" s="1" t="str">
        <f t="shared" si="31"/>
        <v>Delayed</v>
      </c>
      <c r="N329" s="1" t="str">
        <f t="shared" si="32"/>
        <v>High</v>
      </c>
      <c r="O329" s="1">
        <f t="shared" si="33"/>
        <v>1</v>
      </c>
      <c r="P329" s="1" t="str">
        <f t="shared" si="34"/>
        <v>Mid Loan</v>
      </c>
      <c r="Q329" s="1">
        <f t="shared" si="35"/>
        <v>0</v>
      </c>
    </row>
    <row r="330" spans="1:17" x14ac:dyDescent="0.3">
      <c r="A330" s="1" t="s">
        <v>358</v>
      </c>
      <c r="B330" s="1">
        <v>2</v>
      </c>
      <c r="C330" s="1" t="s">
        <v>12</v>
      </c>
      <c r="D330" s="1">
        <v>82046</v>
      </c>
      <c r="E330" s="1">
        <v>10300</v>
      </c>
      <c r="F330" s="2">
        <v>45956</v>
      </c>
      <c r="G330" s="2">
        <v>45956</v>
      </c>
      <c r="H330" s="1">
        <v>0</v>
      </c>
      <c r="I330" s="1" t="s">
        <v>17</v>
      </c>
      <c r="J330" s="1" t="s">
        <v>22</v>
      </c>
      <c r="K330" s="1" t="s">
        <v>70</v>
      </c>
      <c r="L330" s="1">
        <f t="shared" si="30"/>
        <v>0</v>
      </c>
      <c r="M330" s="1" t="str">
        <f t="shared" si="31"/>
        <v>On Time</v>
      </c>
      <c r="N330" s="1" t="str">
        <f t="shared" si="32"/>
        <v>Low</v>
      </c>
      <c r="O330" s="1">
        <f t="shared" si="33"/>
        <v>0</v>
      </c>
      <c r="P330" s="1" t="str">
        <f t="shared" si="34"/>
        <v>Very High Loan</v>
      </c>
      <c r="Q330" s="1">
        <f t="shared" si="35"/>
        <v>1</v>
      </c>
    </row>
    <row r="331" spans="1:17" x14ac:dyDescent="0.3">
      <c r="A331" s="1" t="s">
        <v>359</v>
      </c>
      <c r="B331" s="1">
        <v>2</v>
      </c>
      <c r="C331" s="1" t="s">
        <v>20</v>
      </c>
      <c r="D331" s="1">
        <v>46143</v>
      </c>
      <c r="E331" s="1">
        <v>6600</v>
      </c>
      <c r="F331" s="2">
        <v>45941</v>
      </c>
      <c r="G331" s="2">
        <v>45941</v>
      </c>
      <c r="H331" s="1">
        <v>0</v>
      </c>
      <c r="I331" s="1" t="s">
        <v>17</v>
      </c>
      <c r="J331" s="1" t="s">
        <v>22</v>
      </c>
      <c r="K331" s="1" t="s">
        <v>26</v>
      </c>
      <c r="L331" s="1">
        <f t="shared" si="30"/>
        <v>0</v>
      </c>
      <c r="M331" s="1" t="str">
        <f t="shared" si="31"/>
        <v>On Time</v>
      </c>
      <c r="N331" s="1" t="str">
        <f t="shared" si="32"/>
        <v>Low</v>
      </c>
      <c r="O331" s="1">
        <f t="shared" si="33"/>
        <v>0</v>
      </c>
      <c r="P331" s="1" t="str">
        <f t="shared" si="34"/>
        <v>Mid Loan</v>
      </c>
      <c r="Q331" s="1">
        <f t="shared" si="35"/>
        <v>1</v>
      </c>
    </row>
    <row r="332" spans="1:17" x14ac:dyDescent="0.3">
      <c r="A332" s="1" t="s">
        <v>360</v>
      </c>
      <c r="B332" s="1">
        <v>2</v>
      </c>
      <c r="C332" s="1" t="s">
        <v>20</v>
      </c>
      <c r="D332" s="1">
        <v>26154</v>
      </c>
      <c r="E332" s="1">
        <v>3700</v>
      </c>
      <c r="F332" s="2">
        <v>45955</v>
      </c>
      <c r="G332" s="2">
        <v>45958</v>
      </c>
      <c r="H332" s="1">
        <v>3</v>
      </c>
      <c r="I332" s="1" t="s">
        <v>17</v>
      </c>
      <c r="J332" s="1" t="s">
        <v>22</v>
      </c>
      <c r="K332" s="1" t="s">
        <v>34</v>
      </c>
      <c r="L332" s="1">
        <f t="shared" si="30"/>
        <v>1</v>
      </c>
      <c r="M332" s="1" t="str">
        <f t="shared" si="31"/>
        <v>Delayed</v>
      </c>
      <c r="N332" s="1" t="str">
        <f t="shared" si="32"/>
        <v>Medium</v>
      </c>
      <c r="O332" s="1">
        <f t="shared" si="33"/>
        <v>0</v>
      </c>
      <c r="P332" s="1" t="str">
        <f t="shared" si="34"/>
        <v>Low Loan</v>
      </c>
      <c r="Q332" s="1">
        <f t="shared" si="35"/>
        <v>0</v>
      </c>
    </row>
    <row r="333" spans="1:17" x14ac:dyDescent="0.3">
      <c r="A333" s="1" t="s">
        <v>361</v>
      </c>
      <c r="B333" s="1">
        <v>3</v>
      </c>
      <c r="C333" s="1" t="s">
        <v>20</v>
      </c>
      <c r="D333" s="1">
        <v>41804</v>
      </c>
      <c r="E333" s="1">
        <v>5200</v>
      </c>
      <c r="F333" s="2">
        <v>45951</v>
      </c>
      <c r="G333" s="2">
        <v>45951</v>
      </c>
      <c r="H333" s="1">
        <v>0</v>
      </c>
      <c r="I333" s="1" t="s">
        <v>28</v>
      </c>
      <c r="J333" s="1" t="s">
        <v>14</v>
      </c>
      <c r="K333" s="1" t="s">
        <v>34</v>
      </c>
      <c r="L333" s="1">
        <f t="shared" si="30"/>
        <v>0</v>
      </c>
      <c r="M333" s="1" t="str">
        <f t="shared" si="31"/>
        <v>On Time</v>
      </c>
      <c r="N333" s="1" t="str">
        <f t="shared" si="32"/>
        <v>Low</v>
      </c>
      <c r="O333" s="1">
        <f t="shared" si="33"/>
        <v>1</v>
      </c>
      <c r="P333" s="1" t="str">
        <f t="shared" si="34"/>
        <v>Low Loan</v>
      </c>
      <c r="Q333" s="1">
        <f t="shared" si="35"/>
        <v>1</v>
      </c>
    </row>
    <row r="334" spans="1:17" x14ac:dyDescent="0.3">
      <c r="A334" s="1" t="s">
        <v>362</v>
      </c>
      <c r="B334" s="1">
        <v>1</v>
      </c>
      <c r="C334" s="1" t="s">
        <v>20</v>
      </c>
      <c r="D334" s="1">
        <v>61688</v>
      </c>
      <c r="E334" s="1">
        <v>2700</v>
      </c>
      <c r="F334" s="2">
        <v>45934</v>
      </c>
      <c r="G334" s="2">
        <v>45934</v>
      </c>
      <c r="H334" s="1">
        <v>0</v>
      </c>
      <c r="I334" s="1" t="s">
        <v>21</v>
      </c>
      <c r="J334" s="1" t="s">
        <v>22</v>
      </c>
      <c r="K334" s="1" t="s">
        <v>56</v>
      </c>
      <c r="L334" s="1">
        <f t="shared" si="30"/>
        <v>0</v>
      </c>
      <c r="M334" s="1" t="str">
        <f t="shared" si="31"/>
        <v>On Time</v>
      </c>
      <c r="N334" s="1" t="str">
        <f t="shared" si="32"/>
        <v>Low</v>
      </c>
      <c r="O334" s="1">
        <f t="shared" si="33"/>
        <v>0</v>
      </c>
      <c r="P334" s="1" t="str">
        <f t="shared" si="34"/>
        <v>High Loan</v>
      </c>
      <c r="Q334" s="1">
        <f t="shared" si="35"/>
        <v>1</v>
      </c>
    </row>
    <row r="335" spans="1:17" x14ac:dyDescent="0.3">
      <c r="A335" s="1" t="s">
        <v>363</v>
      </c>
      <c r="B335" s="1">
        <v>1</v>
      </c>
      <c r="C335" s="1" t="s">
        <v>20</v>
      </c>
      <c r="D335" s="1">
        <v>84288</v>
      </c>
      <c r="E335" s="1">
        <v>4400</v>
      </c>
      <c r="F335" s="2">
        <v>45948</v>
      </c>
      <c r="G335" s="2">
        <v>45993</v>
      </c>
      <c r="H335" s="1">
        <v>45</v>
      </c>
      <c r="I335" s="1" t="s">
        <v>21</v>
      </c>
      <c r="J335" s="1" t="s">
        <v>22</v>
      </c>
      <c r="K335" s="1" t="s">
        <v>23</v>
      </c>
      <c r="L335" s="1">
        <f t="shared" si="30"/>
        <v>1</v>
      </c>
      <c r="M335" s="1" t="str">
        <f t="shared" si="31"/>
        <v>Delayed</v>
      </c>
      <c r="N335" s="1" t="str">
        <f t="shared" si="32"/>
        <v>High</v>
      </c>
      <c r="O335" s="1">
        <f t="shared" si="33"/>
        <v>0</v>
      </c>
      <c r="P335" s="1" t="str">
        <f t="shared" si="34"/>
        <v>Very High Loan</v>
      </c>
      <c r="Q335" s="1">
        <f t="shared" si="35"/>
        <v>0</v>
      </c>
    </row>
    <row r="336" spans="1:17" x14ac:dyDescent="0.3">
      <c r="A336" s="1" t="s">
        <v>364</v>
      </c>
      <c r="B336" s="1">
        <v>1</v>
      </c>
      <c r="C336" s="1" t="s">
        <v>20</v>
      </c>
      <c r="D336" s="1">
        <v>71195</v>
      </c>
      <c r="E336" s="1">
        <v>3100</v>
      </c>
      <c r="F336" s="2">
        <v>45931</v>
      </c>
      <c r="G336" s="2">
        <v>45938</v>
      </c>
      <c r="H336" s="1">
        <v>7</v>
      </c>
      <c r="I336" s="1" t="s">
        <v>13</v>
      </c>
      <c r="J336" s="1" t="s">
        <v>22</v>
      </c>
      <c r="K336" s="1" t="s">
        <v>15</v>
      </c>
      <c r="L336" s="1">
        <f t="shared" si="30"/>
        <v>1</v>
      </c>
      <c r="M336" s="1" t="str">
        <f t="shared" si="31"/>
        <v>Delayed</v>
      </c>
      <c r="N336" s="1" t="str">
        <f t="shared" si="32"/>
        <v>Medium</v>
      </c>
      <c r="O336" s="1">
        <f t="shared" si="33"/>
        <v>0</v>
      </c>
      <c r="P336" s="1" t="str">
        <f t="shared" si="34"/>
        <v>High Loan</v>
      </c>
      <c r="Q336" s="1">
        <f t="shared" si="35"/>
        <v>0</v>
      </c>
    </row>
    <row r="337" spans="1:17" x14ac:dyDescent="0.3">
      <c r="A337" s="1" t="s">
        <v>365</v>
      </c>
      <c r="B337" s="1">
        <v>1</v>
      </c>
      <c r="C337" s="1" t="s">
        <v>20</v>
      </c>
      <c r="D337" s="1">
        <v>40581</v>
      </c>
      <c r="E337" s="1">
        <v>2700</v>
      </c>
      <c r="F337" s="2">
        <v>45957</v>
      </c>
      <c r="G337" s="2">
        <v>46017</v>
      </c>
      <c r="H337" s="1">
        <v>60</v>
      </c>
      <c r="I337" s="1" t="s">
        <v>21</v>
      </c>
      <c r="J337" s="1" t="s">
        <v>22</v>
      </c>
      <c r="K337" s="1" t="s">
        <v>70</v>
      </c>
      <c r="L337" s="1">
        <f t="shared" si="30"/>
        <v>1</v>
      </c>
      <c r="M337" s="1" t="str">
        <f t="shared" si="31"/>
        <v>Delayed</v>
      </c>
      <c r="N337" s="1" t="str">
        <f t="shared" si="32"/>
        <v>High</v>
      </c>
      <c r="O337" s="1">
        <f t="shared" si="33"/>
        <v>0</v>
      </c>
      <c r="P337" s="1" t="str">
        <f t="shared" si="34"/>
        <v>Low Loan</v>
      </c>
      <c r="Q337" s="1">
        <f t="shared" si="35"/>
        <v>0</v>
      </c>
    </row>
    <row r="338" spans="1:17" x14ac:dyDescent="0.3">
      <c r="A338" s="1" t="s">
        <v>366</v>
      </c>
      <c r="B338" s="1">
        <v>3</v>
      </c>
      <c r="C338" s="1" t="s">
        <v>30</v>
      </c>
      <c r="D338" s="1">
        <v>72648</v>
      </c>
      <c r="E338" s="1">
        <v>10400</v>
      </c>
      <c r="F338" s="2">
        <v>45937</v>
      </c>
      <c r="G338" s="2">
        <v>45937</v>
      </c>
      <c r="H338" s="1">
        <v>0</v>
      </c>
      <c r="I338" s="1" t="s">
        <v>21</v>
      </c>
      <c r="J338" s="1" t="s">
        <v>22</v>
      </c>
      <c r="K338" s="1" t="s">
        <v>44</v>
      </c>
      <c r="L338" s="1">
        <f t="shared" si="30"/>
        <v>0</v>
      </c>
      <c r="M338" s="1" t="str">
        <f t="shared" si="31"/>
        <v>On Time</v>
      </c>
      <c r="N338" s="1" t="str">
        <f t="shared" si="32"/>
        <v>Low</v>
      </c>
      <c r="O338" s="1">
        <f t="shared" si="33"/>
        <v>0</v>
      </c>
      <c r="P338" s="1" t="str">
        <f t="shared" si="34"/>
        <v>High Loan</v>
      </c>
      <c r="Q338" s="1">
        <f t="shared" si="35"/>
        <v>1</v>
      </c>
    </row>
    <row r="339" spans="1:17" x14ac:dyDescent="0.3">
      <c r="A339" s="1" t="s">
        <v>367</v>
      </c>
      <c r="B339" s="1">
        <v>3</v>
      </c>
      <c r="C339" s="1" t="s">
        <v>20</v>
      </c>
      <c r="D339" s="1">
        <v>50087</v>
      </c>
      <c r="E339" s="1">
        <v>8300</v>
      </c>
      <c r="F339" s="2">
        <v>45936</v>
      </c>
      <c r="G339" s="2">
        <v>45936</v>
      </c>
      <c r="H339" s="1">
        <v>0</v>
      </c>
      <c r="I339" s="1" t="s">
        <v>17</v>
      </c>
      <c r="J339" s="1" t="s">
        <v>22</v>
      </c>
      <c r="K339" s="1" t="s">
        <v>32</v>
      </c>
      <c r="L339" s="1">
        <f t="shared" si="30"/>
        <v>0</v>
      </c>
      <c r="M339" s="1" t="str">
        <f t="shared" si="31"/>
        <v>On Time</v>
      </c>
      <c r="N339" s="1" t="str">
        <f t="shared" si="32"/>
        <v>Low</v>
      </c>
      <c r="O339" s="1">
        <f t="shared" si="33"/>
        <v>0</v>
      </c>
      <c r="P339" s="1" t="str">
        <f t="shared" si="34"/>
        <v>Mid Loan</v>
      </c>
      <c r="Q339" s="1">
        <f t="shared" si="35"/>
        <v>1</v>
      </c>
    </row>
    <row r="340" spans="1:17" x14ac:dyDescent="0.3">
      <c r="A340" s="1" t="s">
        <v>368</v>
      </c>
      <c r="B340" s="1">
        <v>2</v>
      </c>
      <c r="C340" s="1" t="s">
        <v>12</v>
      </c>
      <c r="D340" s="1">
        <v>69930</v>
      </c>
      <c r="E340" s="1">
        <v>7800</v>
      </c>
      <c r="F340" s="2">
        <v>45945</v>
      </c>
      <c r="G340" s="2">
        <v>45945</v>
      </c>
      <c r="H340" s="1">
        <v>0</v>
      </c>
      <c r="I340" s="1" t="s">
        <v>17</v>
      </c>
      <c r="J340" s="1" t="s">
        <v>22</v>
      </c>
      <c r="K340" s="1" t="s">
        <v>32</v>
      </c>
      <c r="L340" s="1">
        <f t="shared" si="30"/>
        <v>0</v>
      </c>
      <c r="M340" s="1" t="str">
        <f t="shared" si="31"/>
        <v>On Time</v>
      </c>
      <c r="N340" s="1" t="str">
        <f t="shared" si="32"/>
        <v>Low</v>
      </c>
      <c r="O340" s="1">
        <f t="shared" si="33"/>
        <v>0</v>
      </c>
      <c r="P340" s="1" t="str">
        <f t="shared" si="34"/>
        <v>High Loan</v>
      </c>
      <c r="Q340" s="1">
        <f t="shared" si="35"/>
        <v>1</v>
      </c>
    </row>
    <row r="341" spans="1:17" x14ac:dyDescent="0.3">
      <c r="A341" s="1" t="s">
        <v>369</v>
      </c>
      <c r="B341" s="1">
        <v>1</v>
      </c>
      <c r="C341" s="1" t="s">
        <v>12</v>
      </c>
      <c r="D341" s="1">
        <v>52981</v>
      </c>
      <c r="E341" s="1">
        <v>2800</v>
      </c>
      <c r="F341" s="2">
        <v>45948</v>
      </c>
      <c r="G341" s="2">
        <v>45948</v>
      </c>
      <c r="H341" s="1">
        <v>0</v>
      </c>
      <c r="I341" s="1" t="s">
        <v>21</v>
      </c>
      <c r="J341" s="1" t="s">
        <v>22</v>
      </c>
      <c r="K341" s="1" t="s">
        <v>26</v>
      </c>
      <c r="L341" s="1">
        <f t="shared" si="30"/>
        <v>0</v>
      </c>
      <c r="M341" s="1" t="str">
        <f t="shared" si="31"/>
        <v>On Time</v>
      </c>
      <c r="N341" s="1" t="str">
        <f t="shared" si="32"/>
        <v>Low</v>
      </c>
      <c r="O341" s="1">
        <f t="shared" si="33"/>
        <v>0</v>
      </c>
      <c r="P341" s="1" t="str">
        <f t="shared" si="34"/>
        <v>Mid Loan</v>
      </c>
      <c r="Q341" s="1">
        <f t="shared" si="35"/>
        <v>1</v>
      </c>
    </row>
    <row r="342" spans="1:17" x14ac:dyDescent="0.3">
      <c r="A342" s="1" t="s">
        <v>370</v>
      </c>
      <c r="B342" s="1">
        <v>2</v>
      </c>
      <c r="C342" s="1" t="s">
        <v>20</v>
      </c>
      <c r="D342" s="1">
        <v>89298</v>
      </c>
      <c r="E342" s="1">
        <v>14900</v>
      </c>
      <c r="F342" s="2">
        <v>45954</v>
      </c>
      <c r="G342" s="2">
        <v>45969</v>
      </c>
      <c r="H342" s="1">
        <v>15</v>
      </c>
      <c r="I342" s="1" t="s">
        <v>21</v>
      </c>
      <c r="J342" s="1" t="s">
        <v>14</v>
      </c>
      <c r="K342" s="1" t="s">
        <v>18</v>
      </c>
      <c r="L342" s="1">
        <f t="shared" si="30"/>
        <v>1</v>
      </c>
      <c r="M342" s="1" t="str">
        <f t="shared" si="31"/>
        <v>Delayed</v>
      </c>
      <c r="N342" s="1" t="str">
        <f t="shared" si="32"/>
        <v>High</v>
      </c>
      <c r="O342" s="1">
        <f t="shared" si="33"/>
        <v>1</v>
      </c>
      <c r="P342" s="1" t="str">
        <f t="shared" si="34"/>
        <v>Very High Loan</v>
      </c>
      <c r="Q342" s="1">
        <f t="shared" si="35"/>
        <v>0</v>
      </c>
    </row>
    <row r="343" spans="1:17" x14ac:dyDescent="0.3">
      <c r="A343" s="1" t="s">
        <v>371</v>
      </c>
      <c r="B343" s="1">
        <v>2</v>
      </c>
      <c r="C343" s="1" t="s">
        <v>12</v>
      </c>
      <c r="D343" s="1">
        <v>66167</v>
      </c>
      <c r="E343" s="1">
        <v>3500</v>
      </c>
      <c r="F343" s="2">
        <v>45941</v>
      </c>
      <c r="G343" s="2">
        <v>45941</v>
      </c>
      <c r="H343" s="1">
        <v>0</v>
      </c>
      <c r="I343" s="1" t="s">
        <v>21</v>
      </c>
      <c r="J343" s="1" t="s">
        <v>22</v>
      </c>
      <c r="K343" s="1" t="s">
        <v>34</v>
      </c>
      <c r="L343" s="1">
        <f t="shared" si="30"/>
        <v>0</v>
      </c>
      <c r="M343" s="1" t="str">
        <f t="shared" si="31"/>
        <v>On Time</v>
      </c>
      <c r="N343" s="1" t="str">
        <f t="shared" si="32"/>
        <v>Low</v>
      </c>
      <c r="O343" s="1">
        <f t="shared" si="33"/>
        <v>0</v>
      </c>
      <c r="P343" s="1" t="str">
        <f t="shared" si="34"/>
        <v>High Loan</v>
      </c>
      <c r="Q343" s="1">
        <f t="shared" si="35"/>
        <v>1</v>
      </c>
    </row>
    <row r="344" spans="1:17" x14ac:dyDescent="0.3">
      <c r="A344" s="1" t="s">
        <v>372</v>
      </c>
      <c r="B344" s="1">
        <v>1</v>
      </c>
      <c r="C344" s="1" t="s">
        <v>20</v>
      </c>
      <c r="D344" s="1">
        <v>95304</v>
      </c>
      <c r="E344" s="1">
        <v>4500</v>
      </c>
      <c r="F344" s="2">
        <v>45950</v>
      </c>
      <c r="G344" s="2">
        <v>45965</v>
      </c>
      <c r="H344" s="1">
        <v>15</v>
      </c>
      <c r="I344" s="1" t="s">
        <v>13</v>
      </c>
      <c r="J344" s="1" t="s">
        <v>22</v>
      </c>
      <c r="K344" s="1" t="s">
        <v>56</v>
      </c>
      <c r="L344" s="1">
        <f t="shared" si="30"/>
        <v>1</v>
      </c>
      <c r="M344" s="1" t="str">
        <f t="shared" si="31"/>
        <v>Delayed</v>
      </c>
      <c r="N344" s="1" t="str">
        <f t="shared" si="32"/>
        <v>High</v>
      </c>
      <c r="O344" s="1">
        <f t="shared" si="33"/>
        <v>0</v>
      </c>
      <c r="P344" s="1" t="str">
        <f t="shared" si="34"/>
        <v>Very High Loan</v>
      </c>
      <c r="Q344" s="1">
        <f t="shared" si="35"/>
        <v>0</v>
      </c>
    </row>
    <row r="345" spans="1:17" x14ac:dyDescent="0.3">
      <c r="A345" s="1" t="s">
        <v>373</v>
      </c>
      <c r="B345" s="1">
        <v>2</v>
      </c>
      <c r="C345" s="1" t="s">
        <v>30</v>
      </c>
      <c r="D345" s="1">
        <v>63408</v>
      </c>
      <c r="E345" s="1">
        <v>3300</v>
      </c>
      <c r="F345" s="2">
        <v>45954</v>
      </c>
      <c r="G345" s="2">
        <v>45961</v>
      </c>
      <c r="H345" s="1">
        <v>7</v>
      </c>
      <c r="I345" s="1" t="s">
        <v>21</v>
      </c>
      <c r="J345" s="1" t="s">
        <v>22</v>
      </c>
      <c r="K345" s="1" t="s">
        <v>56</v>
      </c>
      <c r="L345" s="1">
        <f t="shared" si="30"/>
        <v>1</v>
      </c>
      <c r="M345" s="1" t="str">
        <f t="shared" si="31"/>
        <v>Delayed</v>
      </c>
      <c r="N345" s="1" t="str">
        <f t="shared" si="32"/>
        <v>Medium</v>
      </c>
      <c r="O345" s="1">
        <f t="shared" si="33"/>
        <v>0</v>
      </c>
      <c r="P345" s="1" t="str">
        <f t="shared" si="34"/>
        <v>High Loan</v>
      </c>
      <c r="Q345" s="1">
        <f t="shared" si="35"/>
        <v>0</v>
      </c>
    </row>
    <row r="346" spans="1:17" x14ac:dyDescent="0.3">
      <c r="A346" s="1" t="s">
        <v>374</v>
      </c>
      <c r="B346" s="1">
        <v>2</v>
      </c>
      <c r="C346" s="1" t="s">
        <v>20</v>
      </c>
      <c r="D346" s="1">
        <v>59499</v>
      </c>
      <c r="E346" s="1">
        <v>7400</v>
      </c>
      <c r="F346" s="2">
        <v>45945</v>
      </c>
      <c r="G346" s="2">
        <v>45945</v>
      </c>
      <c r="H346" s="1">
        <v>0</v>
      </c>
      <c r="I346" s="1" t="s">
        <v>13</v>
      </c>
      <c r="J346" s="1" t="s">
        <v>14</v>
      </c>
      <c r="K346" s="1" t="s">
        <v>44</v>
      </c>
      <c r="L346" s="1">
        <f t="shared" si="30"/>
        <v>0</v>
      </c>
      <c r="M346" s="1" t="str">
        <f t="shared" si="31"/>
        <v>On Time</v>
      </c>
      <c r="N346" s="1" t="str">
        <f t="shared" si="32"/>
        <v>Low</v>
      </c>
      <c r="O346" s="1">
        <f t="shared" si="33"/>
        <v>1</v>
      </c>
      <c r="P346" s="1" t="str">
        <f t="shared" si="34"/>
        <v>Mid Loan</v>
      </c>
      <c r="Q346" s="1">
        <f t="shared" si="35"/>
        <v>1</v>
      </c>
    </row>
    <row r="347" spans="1:17" x14ac:dyDescent="0.3">
      <c r="A347" s="1" t="s">
        <v>375</v>
      </c>
      <c r="B347" s="1">
        <v>2</v>
      </c>
      <c r="C347" s="1" t="s">
        <v>20</v>
      </c>
      <c r="D347" s="1">
        <v>72269</v>
      </c>
      <c r="E347" s="1">
        <v>9000</v>
      </c>
      <c r="F347" s="2">
        <v>45946</v>
      </c>
      <c r="G347" s="2">
        <v>45946</v>
      </c>
      <c r="H347" s="1">
        <v>0</v>
      </c>
      <c r="I347" s="1" t="s">
        <v>21</v>
      </c>
      <c r="J347" s="1" t="s">
        <v>22</v>
      </c>
      <c r="K347" s="1" t="s">
        <v>56</v>
      </c>
      <c r="L347" s="1">
        <f t="shared" si="30"/>
        <v>0</v>
      </c>
      <c r="M347" s="1" t="str">
        <f t="shared" si="31"/>
        <v>On Time</v>
      </c>
      <c r="N347" s="1" t="str">
        <f t="shared" si="32"/>
        <v>Low</v>
      </c>
      <c r="O347" s="1">
        <f t="shared" si="33"/>
        <v>0</v>
      </c>
      <c r="P347" s="1" t="str">
        <f t="shared" si="34"/>
        <v>High Loan</v>
      </c>
      <c r="Q347" s="1">
        <f t="shared" si="35"/>
        <v>1</v>
      </c>
    </row>
    <row r="348" spans="1:17" x14ac:dyDescent="0.3">
      <c r="A348" s="1" t="s">
        <v>376</v>
      </c>
      <c r="B348" s="1">
        <v>2</v>
      </c>
      <c r="C348" s="1" t="s">
        <v>20</v>
      </c>
      <c r="D348" s="1">
        <v>58559</v>
      </c>
      <c r="E348" s="1">
        <v>4200</v>
      </c>
      <c r="F348" s="2">
        <v>45937</v>
      </c>
      <c r="G348" s="2">
        <v>45940</v>
      </c>
      <c r="H348" s="1">
        <v>3</v>
      </c>
      <c r="I348" s="1" t="s">
        <v>13</v>
      </c>
      <c r="J348" s="1" t="s">
        <v>22</v>
      </c>
      <c r="K348" s="1" t="s">
        <v>34</v>
      </c>
      <c r="L348" s="1">
        <f t="shared" si="30"/>
        <v>1</v>
      </c>
      <c r="M348" s="1" t="str">
        <f t="shared" si="31"/>
        <v>Delayed</v>
      </c>
      <c r="N348" s="1" t="str">
        <f t="shared" si="32"/>
        <v>Medium</v>
      </c>
      <c r="O348" s="1">
        <f t="shared" si="33"/>
        <v>0</v>
      </c>
      <c r="P348" s="1" t="str">
        <f t="shared" si="34"/>
        <v>Mid Loan</v>
      </c>
      <c r="Q348" s="1">
        <f t="shared" si="35"/>
        <v>0</v>
      </c>
    </row>
    <row r="349" spans="1:17" x14ac:dyDescent="0.3">
      <c r="A349" s="1" t="s">
        <v>377</v>
      </c>
      <c r="B349" s="1">
        <v>1</v>
      </c>
      <c r="C349" s="1" t="s">
        <v>30</v>
      </c>
      <c r="D349" s="1">
        <v>94319</v>
      </c>
      <c r="E349" s="1">
        <v>8600</v>
      </c>
      <c r="F349" s="2">
        <v>45951</v>
      </c>
      <c r="G349" s="2">
        <v>45951</v>
      </c>
      <c r="H349" s="1">
        <v>0</v>
      </c>
      <c r="I349" s="1" t="s">
        <v>17</v>
      </c>
      <c r="J349" s="1" t="s">
        <v>14</v>
      </c>
      <c r="K349" s="1" t="s">
        <v>54</v>
      </c>
      <c r="L349" s="1">
        <f t="shared" si="30"/>
        <v>0</v>
      </c>
      <c r="M349" s="1" t="str">
        <f t="shared" si="31"/>
        <v>On Time</v>
      </c>
      <c r="N349" s="1" t="str">
        <f t="shared" si="32"/>
        <v>Low</v>
      </c>
      <c r="O349" s="1">
        <f t="shared" si="33"/>
        <v>1</v>
      </c>
      <c r="P349" s="1" t="str">
        <f t="shared" si="34"/>
        <v>Very High Loan</v>
      </c>
      <c r="Q349" s="1">
        <f t="shared" si="35"/>
        <v>1</v>
      </c>
    </row>
    <row r="350" spans="1:17" x14ac:dyDescent="0.3">
      <c r="A350" s="1" t="s">
        <v>378</v>
      </c>
      <c r="B350" s="1">
        <v>2</v>
      </c>
      <c r="C350" s="1" t="s">
        <v>12</v>
      </c>
      <c r="D350" s="1">
        <v>68787</v>
      </c>
      <c r="E350" s="1">
        <v>3800</v>
      </c>
      <c r="F350" s="2">
        <v>45940</v>
      </c>
      <c r="G350" s="2">
        <v>45955</v>
      </c>
      <c r="H350" s="1">
        <v>15</v>
      </c>
      <c r="I350" s="1" t="s">
        <v>21</v>
      </c>
      <c r="J350" s="1" t="s">
        <v>14</v>
      </c>
      <c r="K350" s="1" t="s">
        <v>18</v>
      </c>
      <c r="L350" s="1">
        <f t="shared" si="30"/>
        <v>1</v>
      </c>
      <c r="M350" s="1" t="str">
        <f t="shared" si="31"/>
        <v>Delayed</v>
      </c>
      <c r="N350" s="1" t="str">
        <f t="shared" si="32"/>
        <v>High</v>
      </c>
      <c r="O350" s="1">
        <f t="shared" si="33"/>
        <v>1</v>
      </c>
      <c r="P350" s="1" t="str">
        <f t="shared" si="34"/>
        <v>High Loan</v>
      </c>
      <c r="Q350" s="1">
        <f t="shared" si="35"/>
        <v>0</v>
      </c>
    </row>
    <row r="351" spans="1:17" x14ac:dyDescent="0.3">
      <c r="A351" s="1" t="s">
        <v>379</v>
      </c>
      <c r="B351" s="1">
        <v>2</v>
      </c>
      <c r="C351" s="1" t="s">
        <v>12</v>
      </c>
      <c r="D351" s="1">
        <v>55488</v>
      </c>
      <c r="E351" s="1">
        <v>7900</v>
      </c>
      <c r="F351" s="2">
        <v>45956</v>
      </c>
      <c r="G351" s="2">
        <v>45956</v>
      </c>
      <c r="H351" s="1">
        <v>0</v>
      </c>
      <c r="I351" s="1" t="s">
        <v>13</v>
      </c>
      <c r="J351" s="1" t="s">
        <v>14</v>
      </c>
      <c r="K351" s="1" t="s">
        <v>54</v>
      </c>
      <c r="L351" s="1">
        <f t="shared" si="30"/>
        <v>0</v>
      </c>
      <c r="M351" s="1" t="str">
        <f t="shared" si="31"/>
        <v>On Time</v>
      </c>
      <c r="N351" s="1" t="str">
        <f t="shared" si="32"/>
        <v>Low</v>
      </c>
      <c r="O351" s="1">
        <f t="shared" si="33"/>
        <v>1</v>
      </c>
      <c r="P351" s="1" t="str">
        <f t="shared" si="34"/>
        <v>Mid Loan</v>
      </c>
      <c r="Q351" s="1">
        <f t="shared" si="35"/>
        <v>1</v>
      </c>
    </row>
    <row r="352" spans="1:17" x14ac:dyDescent="0.3">
      <c r="A352" s="1" t="s">
        <v>380</v>
      </c>
      <c r="B352" s="1">
        <v>2</v>
      </c>
      <c r="C352" s="1" t="s">
        <v>20</v>
      </c>
      <c r="D352" s="1">
        <v>94441</v>
      </c>
      <c r="E352" s="1">
        <v>7300</v>
      </c>
      <c r="F352" s="2">
        <v>45942</v>
      </c>
      <c r="G352" s="2">
        <v>45942</v>
      </c>
      <c r="H352" s="1">
        <v>0</v>
      </c>
      <c r="I352" s="1" t="s">
        <v>28</v>
      </c>
      <c r="J352" s="1" t="s">
        <v>22</v>
      </c>
      <c r="K352" s="1" t="s">
        <v>18</v>
      </c>
      <c r="L352" s="1">
        <f t="shared" si="30"/>
        <v>0</v>
      </c>
      <c r="M352" s="1" t="str">
        <f t="shared" si="31"/>
        <v>On Time</v>
      </c>
      <c r="N352" s="1" t="str">
        <f t="shared" si="32"/>
        <v>Low</v>
      </c>
      <c r="O352" s="1">
        <f t="shared" si="33"/>
        <v>0</v>
      </c>
      <c r="P352" s="1" t="str">
        <f t="shared" si="34"/>
        <v>Very High Loan</v>
      </c>
      <c r="Q352" s="1">
        <f t="shared" si="35"/>
        <v>1</v>
      </c>
    </row>
    <row r="353" spans="1:17" x14ac:dyDescent="0.3">
      <c r="A353" s="1" t="s">
        <v>381</v>
      </c>
      <c r="B353" s="1">
        <v>3</v>
      </c>
      <c r="C353" s="1" t="s">
        <v>12</v>
      </c>
      <c r="D353" s="1">
        <v>94663</v>
      </c>
      <c r="E353" s="1">
        <v>13500</v>
      </c>
      <c r="F353" s="2">
        <v>45954</v>
      </c>
      <c r="G353" s="2">
        <v>45957</v>
      </c>
      <c r="H353" s="1">
        <v>3</v>
      </c>
      <c r="I353" s="1" t="s">
        <v>13</v>
      </c>
      <c r="J353" s="1" t="s">
        <v>14</v>
      </c>
      <c r="K353" s="1" t="s">
        <v>23</v>
      </c>
      <c r="L353" s="1">
        <f t="shared" si="30"/>
        <v>1</v>
      </c>
      <c r="M353" s="1" t="str">
        <f t="shared" si="31"/>
        <v>Delayed</v>
      </c>
      <c r="N353" s="1" t="str">
        <f t="shared" si="32"/>
        <v>Medium</v>
      </c>
      <c r="O353" s="1">
        <f t="shared" si="33"/>
        <v>1</v>
      </c>
      <c r="P353" s="1" t="str">
        <f t="shared" si="34"/>
        <v>Very High Loan</v>
      </c>
      <c r="Q353" s="1">
        <f t="shared" si="35"/>
        <v>0</v>
      </c>
    </row>
    <row r="354" spans="1:17" x14ac:dyDescent="0.3">
      <c r="A354" s="1" t="s">
        <v>382</v>
      </c>
      <c r="B354" s="1">
        <v>2</v>
      </c>
      <c r="C354" s="1" t="s">
        <v>20</v>
      </c>
      <c r="D354" s="1">
        <v>42431</v>
      </c>
      <c r="E354" s="1">
        <v>4700</v>
      </c>
      <c r="F354" s="2">
        <v>45944</v>
      </c>
      <c r="G354" s="2">
        <v>46004</v>
      </c>
      <c r="H354" s="1">
        <v>60</v>
      </c>
      <c r="I354" s="1" t="s">
        <v>17</v>
      </c>
      <c r="J354" s="1" t="s">
        <v>14</v>
      </c>
      <c r="K354" s="1" t="s">
        <v>23</v>
      </c>
      <c r="L354" s="1">
        <f t="shared" si="30"/>
        <v>1</v>
      </c>
      <c r="M354" s="1" t="str">
        <f t="shared" si="31"/>
        <v>Delayed</v>
      </c>
      <c r="N354" s="1" t="str">
        <f t="shared" si="32"/>
        <v>High</v>
      </c>
      <c r="O354" s="1">
        <f t="shared" si="33"/>
        <v>1</v>
      </c>
      <c r="P354" s="1" t="str">
        <f t="shared" si="34"/>
        <v>Low Loan</v>
      </c>
      <c r="Q354" s="1">
        <f t="shared" si="35"/>
        <v>0</v>
      </c>
    </row>
    <row r="355" spans="1:17" x14ac:dyDescent="0.3">
      <c r="A355" s="1" t="s">
        <v>383</v>
      </c>
      <c r="B355" s="1">
        <v>1</v>
      </c>
      <c r="C355" s="1" t="s">
        <v>12</v>
      </c>
      <c r="D355" s="1">
        <v>81681</v>
      </c>
      <c r="E355" s="1">
        <v>4100</v>
      </c>
      <c r="F355" s="2">
        <v>45955</v>
      </c>
      <c r="G355" s="2">
        <v>45955</v>
      </c>
      <c r="H355" s="1">
        <v>0</v>
      </c>
      <c r="I355" s="1" t="s">
        <v>28</v>
      </c>
      <c r="J355" s="1" t="s">
        <v>22</v>
      </c>
      <c r="K355" s="1" t="s">
        <v>44</v>
      </c>
      <c r="L355" s="1">
        <f t="shared" si="30"/>
        <v>0</v>
      </c>
      <c r="M355" s="1" t="str">
        <f t="shared" si="31"/>
        <v>On Time</v>
      </c>
      <c r="N355" s="1" t="str">
        <f t="shared" si="32"/>
        <v>Low</v>
      </c>
      <c r="O355" s="1">
        <f t="shared" si="33"/>
        <v>0</v>
      </c>
      <c r="P355" s="1" t="str">
        <f t="shared" si="34"/>
        <v>Very High Loan</v>
      </c>
      <c r="Q355" s="1">
        <f t="shared" si="35"/>
        <v>1</v>
      </c>
    </row>
    <row r="356" spans="1:17" x14ac:dyDescent="0.3">
      <c r="A356" s="1" t="s">
        <v>384</v>
      </c>
      <c r="B356" s="1">
        <v>1</v>
      </c>
      <c r="C356" s="1" t="s">
        <v>20</v>
      </c>
      <c r="D356" s="1">
        <v>83483</v>
      </c>
      <c r="E356" s="1">
        <v>9300</v>
      </c>
      <c r="F356" s="2">
        <v>45935</v>
      </c>
      <c r="G356" s="2">
        <v>45950</v>
      </c>
      <c r="H356" s="1">
        <v>15</v>
      </c>
      <c r="I356" s="1" t="s">
        <v>17</v>
      </c>
      <c r="J356" s="1" t="s">
        <v>22</v>
      </c>
      <c r="K356" s="1" t="s">
        <v>54</v>
      </c>
      <c r="L356" s="1">
        <f t="shared" si="30"/>
        <v>1</v>
      </c>
      <c r="M356" s="1" t="str">
        <f t="shared" si="31"/>
        <v>Delayed</v>
      </c>
      <c r="N356" s="1" t="str">
        <f t="shared" si="32"/>
        <v>High</v>
      </c>
      <c r="O356" s="1">
        <f t="shared" si="33"/>
        <v>0</v>
      </c>
      <c r="P356" s="1" t="str">
        <f t="shared" si="34"/>
        <v>Very High Loan</v>
      </c>
      <c r="Q356" s="1">
        <f t="shared" si="35"/>
        <v>0</v>
      </c>
    </row>
    <row r="357" spans="1:17" x14ac:dyDescent="0.3">
      <c r="A357" s="1" t="s">
        <v>385</v>
      </c>
      <c r="B357" s="1">
        <v>2</v>
      </c>
      <c r="C357" s="1" t="s">
        <v>20</v>
      </c>
      <c r="D357" s="1">
        <v>69153</v>
      </c>
      <c r="E357" s="1">
        <v>3800</v>
      </c>
      <c r="F357" s="2">
        <v>45956</v>
      </c>
      <c r="G357" s="2">
        <v>45956</v>
      </c>
      <c r="H357" s="1">
        <v>0</v>
      </c>
      <c r="I357" s="1" t="s">
        <v>13</v>
      </c>
      <c r="J357" s="1" t="s">
        <v>14</v>
      </c>
      <c r="K357" s="1" t="s">
        <v>23</v>
      </c>
      <c r="L357" s="1">
        <f t="shared" si="30"/>
        <v>0</v>
      </c>
      <c r="M357" s="1" t="str">
        <f t="shared" si="31"/>
        <v>On Time</v>
      </c>
      <c r="N357" s="1" t="str">
        <f t="shared" si="32"/>
        <v>Low</v>
      </c>
      <c r="O357" s="1">
        <f t="shared" si="33"/>
        <v>1</v>
      </c>
      <c r="P357" s="1" t="str">
        <f t="shared" si="34"/>
        <v>High Loan</v>
      </c>
      <c r="Q357" s="1">
        <f t="shared" si="35"/>
        <v>1</v>
      </c>
    </row>
    <row r="358" spans="1:17" x14ac:dyDescent="0.3">
      <c r="A358" s="1" t="s">
        <v>386</v>
      </c>
      <c r="B358" s="1">
        <v>1</v>
      </c>
      <c r="C358" s="1" t="s">
        <v>20</v>
      </c>
      <c r="D358" s="1">
        <v>26368</v>
      </c>
      <c r="E358" s="1">
        <v>1600</v>
      </c>
      <c r="F358" s="2">
        <v>45951</v>
      </c>
      <c r="G358" s="2">
        <v>45958</v>
      </c>
      <c r="H358" s="1">
        <v>7</v>
      </c>
      <c r="I358" s="1" t="s">
        <v>28</v>
      </c>
      <c r="J358" s="1" t="s">
        <v>14</v>
      </c>
      <c r="K358" s="1" t="s">
        <v>23</v>
      </c>
      <c r="L358" s="1">
        <f t="shared" si="30"/>
        <v>1</v>
      </c>
      <c r="M358" s="1" t="str">
        <f t="shared" si="31"/>
        <v>Delayed</v>
      </c>
      <c r="N358" s="1" t="str">
        <f t="shared" si="32"/>
        <v>Medium</v>
      </c>
      <c r="O358" s="1">
        <f t="shared" si="33"/>
        <v>1</v>
      </c>
      <c r="P358" s="1" t="str">
        <f t="shared" si="34"/>
        <v>Low Loan</v>
      </c>
      <c r="Q358" s="1">
        <f t="shared" si="35"/>
        <v>0</v>
      </c>
    </row>
    <row r="359" spans="1:17" x14ac:dyDescent="0.3">
      <c r="A359" s="1" t="s">
        <v>387</v>
      </c>
      <c r="B359" s="1">
        <v>2</v>
      </c>
      <c r="C359" s="1" t="s">
        <v>20</v>
      </c>
      <c r="D359" s="1">
        <v>47424</v>
      </c>
      <c r="E359" s="1">
        <v>2600</v>
      </c>
      <c r="F359" s="2">
        <v>45948</v>
      </c>
      <c r="G359" s="2">
        <v>45955</v>
      </c>
      <c r="H359" s="1">
        <v>7</v>
      </c>
      <c r="I359" s="1" t="s">
        <v>21</v>
      </c>
      <c r="J359" s="1" t="s">
        <v>14</v>
      </c>
      <c r="K359" s="1" t="s">
        <v>23</v>
      </c>
      <c r="L359" s="1">
        <f t="shared" si="30"/>
        <v>1</v>
      </c>
      <c r="M359" s="1" t="str">
        <f t="shared" si="31"/>
        <v>Delayed</v>
      </c>
      <c r="N359" s="1" t="str">
        <f t="shared" si="32"/>
        <v>Medium</v>
      </c>
      <c r="O359" s="1">
        <f t="shared" si="33"/>
        <v>1</v>
      </c>
      <c r="P359" s="1" t="str">
        <f t="shared" si="34"/>
        <v>Mid Loan</v>
      </c>
      <c r="Q359" s="1">
        <f t="shared" si="35"/>
        <v>0</v>
      </c>
    </row>
    <row r="360" spans="1:17" x14ac:dyDescent="0.3">
      <c r="A360" s="1" t="s">
        <v>388</v>
      </c>
      <c r="B360" s="1">
        <v>3</v>
      </c>
      <c r="C360" s="1" t="s">
        <v>12</v>
      </c>
      <c r="D360" s="1">
        <v>65004</v>
      </c>
      <c r="E360" s="1">
        <v>3400</v>
      </c>
      <c r="F360" s="2">
        <v>45935</v>
      </c>
      <c r="G360" s="2">
        <v>45935</v>
      </c>
      <c r="H360" s="1">
        <v>0</v>
      </c>
      <c r="I360" s="1" t="s">
        <v>17</v>
      </c>
      <c r="J360" s="1" t="s">
        <v>14</v>
      </c>
      <c r="K360" s="1" t="s">
        <v>32</v>
      </c>
      <c r="L360" s="1">
        <f t="shared" si="30"/>
        <v>0</v>
      </c>
      <c r="M360" s="1" t="str">
        <f t="shared" si="31"/>
        <v>On Time</v>
      </c>
      <c r="N360" s="1" t="str">
        <f t="shared" si="32"/>
        <v>Low</v>
      </c>
      <c r="O360" s="1">
        <f t="shared" si="33"/>
        <v>1</v>
      </c>
      <c r="P360" s="1" t="str">
        <f t="shared" si="34"/>
        <v>High Loan</v>
      </c>
      <c r="Q360" s="1">
        <f t="shared" si="35"/>
        <v>1</v>
      </c>
    </row>
    <row r="361" spans="1:17" x14ac:dyDescent="0.3">
      <c r="A361" s="1" t="s">
        <v>389</v>
      </c>
      <c r="B361" s="1">
        <v>2</v>
      </c>
      <c r="C361" s="1" t="s">
        <v>20</v>
      </c>
      <c r="D361" s="1">
        <v>76985</v>
      </c>
      <c r="E361" s="1">
        <v>3300</v>
      </c>
      <c r="F361" s="2">
        <v>45933</v>
      </c>
      <c r="G361" s="2">
        <v>45933</v>
      </c>
      <c r="H361" s="1">
        <v>0</v>
      </c>
      <c r="I361" s="1" t="s">
        <v>17</v>
      </c>
      <c r="J361" s="1" t="s">
        <v>22</v>
      </c>
      <c r="K361" s="1" t="s">
        <v>44</v>
      </c>
      <c r="L361" s="1">
        <f t="shared" si="30"/>
        <v>0</v>
      </c>
      <c r="M361" s="1" t="str">
        <f t="shared" si="31"/>
        <v>On Time</v>
      </c>
      <c r="N361" s="1" t="str">
        <f t="shared" si="32"/>
        <v>Low</v>
      </c>
      <c r="O361" s="1">
        <f t="shared" si="33"/>
        <v>0</v>
      </c>
      <c r="P361" s="1" t="str">
        <f t="shared" si="34"/>
        <v>High Loan</v>
      </c>
      <c r="Q361" s="1">
        <f t="shared" si="35"/>
        <v>1</v>
      </c>
    </row>
    <row r="362" spans="1:17" x14ac:dyDescent="0.3">
      <c r="A362" s="1" t="s">
        <v>390</v>
      </c>
      <c r="B362" s="1">
        <v>2</v>
      </c>
      <c r="C362" s="1" t="s">
        <v>12</v>
      </c>
      <c r="D362" s="1">
        <v>70069</v>
      </c>
      <c r="E362" s="1">
        <v>6400</v>
      </c>
      <c r="F362" s="2">
        <v>45953</v>
      </c>
      <c r="G362" s="2">
        <v>45960</v>
      </c>
      <c r="H362" s="1">
        <v>7</v>
      </c>
      <c r="I362" s="1" t="s">
        <v>21</v>
      </c>
      <c r="J362" s="1" t="s">
        <v>14</v>
      </c>
      <c r="K362" s="1" t="s">
        <v>26</v>
      </c>
      <c r="L362" s="1">
        <f t="shared" si="30"/>
        <v>1</v>
      </c>
      <c r="M362" s="1" t="str">
        <f t="shared" si="31"/>
        <v>Delayed</v>
      </c>
      <c r="N362" s="1" t="str">
        <f t="shared" si="32"/>
        <v>Medium</v>
      </c>
      <c r="O362" s="1">
        <f t="shared" si="33"/>
        <v>1</v>
      </c>
      <c r="P362" s="1" t="str">
        <f t="shared" si="34"/>
        <v>High Loan</v>
      </c>
      <c r="Q362" s="1">
        <f t="shared" si="35"/>
        <v>0</v>
      </c>
    </row>
    <row r="363" spans="1:17" x14ac:dyDescent="0.3">
      <c r="A363" s="1" t="s">
        <v>391</v>
      </c>
      <c r="B363" s="1">
        <v>2</v>
      </c>
      <c r="C363" s="1" t="s">
        <v>20</v>
      </c>
      <c r="D363" s="1">
        <v>72326</v>
      </c>
      <c r="E363" s="1">
        <v>4500</v>
      </c>
      <c r="F363" s="2">
        <v>45956</v>
      </c>
      <c r="G363" s="2">
        <v>45956</v>
      </c>
      <c r="H363" s="1">
        <v>0</v>
      </c>
      <c r="I363" s="1" t="s">
        <v>28</v>
      </c>
      <c r="J363" s="1" t="s">
        <v>14</v>
      </c>
      <c r="K363" s="1" t="s">
        <v>26</v>
      </c>
      <c r="L363" s="1">
        <f t="shared" si="30"/>
        <v>0</v>
      </c>
      <c r="M363" s="1" t="str">
        <f t="shared" si="31"/>
        <v>On Time</v>
      </c>
      <c r="N363" s="1" t="str">
        <f t="shared" si="32"/>
        <v>Low</v>
      </c>
      <c r="O363" s="1">
        <f t="shared" si="33"/>
        <v>1</v>
      </c>
      <c r="P363" s="1" t="str">
        <f t="shared" si="34"/>
        <v>High Loan</v>
      </c>
      <c r="Q363" s="1">
        <f t="shared" si="35"/>
        <v>1</v>
      </c>
    </row>
    <row r="364" spans="1:17" x14ac:dyDescent="0.3">
      <c r="A364" s="1" t="s">
        <v>392</v>
      </c>
      <c r="B364" s="1">
        <v>2</v>
      </c>
      <c r="C364" s="1" t="s">
        <v>12</v>
      </c>
      <c r="D364" s="1">
        <v>43398</v>
      </c>
      <c r="E364" s="1">
        <v>6200</v>
      </c>
      <c r="F364" s="2">
        <v>45935</v>
      </c>
      <c r="G364" s="2">
        <v>45942</v>
      </c>
      <c r="H364" s="1">
        <v>7</v>
      </c>
      <c r="I364" s="1" t="s">
        <v>28</v>
      </c>
      <c r="J364" s="1" t="s">
        <v>22</v>
      </c>
      <c r="K364" s="1" t="s">
        <v>15</v>
      </c>
      <c r="L364" s="1">
        <f t="shared" si="30"/>
        <v>1</v>
      </c>
      <c r="M364" s="1" t="str">
        <f t="shared" si="31"/>
        <v>Delayed</v>
      </c>
      <c r="N364" s="1" t="str">
        <f t="shared" si="32"/>
        <v>Medium</v>
      </c>
      <c r="O364" s="1">
        <f t="shared" si="33"/>
        <v>0</v>
      </c>
      <c r="P364" s="1" t="str">
        <f t="shared" si="34"/>
        <v>Mid Loan</v>
      </c>
      <c r="Q364" s="1">
        <f t="shared" si="35"/>
        <v>0</v>
      </c>
    </row>
    <row r="365" spans="1:17" x14ac:dyDescent="0.3">
      <c r="A365" s="1" t="s">
        <v>393</v>
      </c>
      <c r="B365" s="1">
        <v>2</v>
      </c>
      <c r="C365" s="1" t="s">
        <v>20</v>
      </c>
      <c r="D365" s="1">
        <v>70861</v>
      </c>
      <c r="E365" s="1">
        <v>7100</v>
      </c>
      <c r="F365" s="2">
        <v>45954</v>
      </c>
      <c r="G365" s="2">
        <v>45954</v>
      </c>
      <c r="H365" s="1">
        <v>0</v>
      </c>
      <c r="I365" s="1" t="s">
        <v>21</v>
      </c>
      <c r="J365" s="1" t="s">
        <v>22</v>
      </c>
      <c r="K365" s="1" t="s">
        <v>34</v>
      </c>
      <c r="L365" s="1">
        <f t="shared" si="30"/>
        <v>0</v>
      </c>
      <c r="M365" s="1" t="str">
        <f t="shared" si="31"/>
        <v>On Time</v>
      </c>
      <c r="N365" s="1" t="str">
        <f t="shared" si="32"/>
        <v>Low</v>
      </c>
      <c r="O365" s="1">
        <f t="shared" si="33"/>
        <v>0</v>
      </c>
      <c r="P365" s="1" t="str">
        <f t="shared" si="34"/>
        <v>High Loan</v>
      </c>
      <c r="Q365" s="1">
        <f t="shared" si="35"/>
        <v>1</v>
      </c>
    </row>
    <row r="366" spans="1:17" x14ac:dyDescent="0.3">
      <c r="A366" s="1" t="s">
        <v>394</v>
      </c>
      <c r="B366" s="1">
        <v>3</v>
      </c>
      <c r="C366" s="1" t="s">
        <v>20</v>
      </c>
      <c r="D366" s="1">
        <v>95897</v>
      </c>
      <c r="E366" s="1">
        <v>13700</v>
      </c>
      <c r="F366" s="2">
        <v>45947</v>
      </c>
      <c r="G366" s="2">
        <v>45962</v>
      </c>
      <c r="H366" s="1">
        <v>15</v>
      </c>
      <c r="I366" s="1" t="s">
        <v>21</v>
      </c>
      <c r="J366" s="1" t="s">
        <v>22</v>
      </c>
      <c r="K366" s="1" t="s">
        <v>23</v>
      </c>
      <c r="L366" s="1">
        <f t="shared" si="30"/>
        <v>1</v>
      </c>
      <c r="M366" s="1" t="str">
        <f t="shared" si="31"/>
        <v>Delayed</v>
      </c>
      <c r="N366" s="1" t="str">
        <f t="shared" si="32"/>
        <v>High</v>
      </c>
      <c r="O366" s="1">
        <f t="shared" si="33"/>
        <v>0</v>
      </c>
      <c r="P366" s="1" t="str">
        <f t="shared" si="34"/>
        <v>Very High Loan</v>
      </c>
      <c r="Q366" s="1">
        <f t="shared" si="35"/>
        <v>0</v>
      </c>
    </row>
    <row r="367" spans="1:17" x14ac:dyDescent="0.3">
      <c r="A367" s="1" t="s">
        <v>395</v>
      </c>
      <c r="B367" s="1">
        <v>2</v>
      </c>
      <c r="C367" s="1" t="s">
        <v>12</v>
      </c>
      <c r="D367" s="1">
        <v>88577</v>
      </c>
      <c r="E367" s="1">
        <v>5900</v>
      </c>
      <c r="F367" s="2">
        <v>45949</v>
      </c>
      <c r="G367" s="2">
        <v>45956</v>
      </c>
      <c r="H367" s="1">
        <v>7</v>
      </c>
      <c r="I367" s="1" t="s">
        <v>13</v>
      </c>
      <c r="J367" s="1" t="s">
        <v>22</v>
      </c>
      <c r="K367" s="1" t="s">
        <v>44</v>
      </c>
      <c r="L367" s="1">
        <f t="shared" si="30"/>
        <v>1</v>
      </c>
      <c r="M367" s="1" t="str">
        <f t="shared" si="31"/>
        <v>Delayed</v>
      </c>
      <c r="N367" s="1" t="str">
        <f t="shared" si="32"/>
        <v>Medium</v>
      </c>
      <c r="O367" s="1">
        <f t="shared" si="33"/>
        <v>0</v>
      </c>
      <c r="P367" s="1" t="str">
        <f t="shared" si="34"/>
        <v>Very High Loan</v>
      </c>
      <c r="Q367" s="1">
        <f t="shared" si="35"/>
        <v>0</v>
      </c>
    </row>
    <row r="368" spans="1:17" x14ac:dyDescent="0.3">
      <c r="A368" s="1" t="s">
        <v>396</v>
      </c>
      <c r="B368" s="1">
        <v>3</v>
      </c>
      <c r="C368" s="1" t="s">
        <v>20</v>
      </c>
      <c r="D368" s="1">
        <v>85641</v>
      </c>
      <c r="E368" s="1">
        <v>12200</v>
      </c>
      <c r="F368" s="2">
        <v>45949</v>
      </c>
      <c r="G368" s="2">
        <v>45979</v>
      </c>
      <c r="H368" s="1">
        <v>30</v>
      </c>
      <c r="I368" s="1" t="s">
        <v>28</v>
      </c>
      <c r="J368" s="1" t="s">
        <v>22</v>
      </c>
      <c r="K368" s="1" t="s">
        <v>56</v>
      </c>
      <c r="L368" s="1">
        <f t="shared" si="30"/>
        <v>1</v>
      </c>
      <c r="M368" s="1" t="str">
        <f t="shared" si="31"/>
        <v>Delayed</v>
      </c>
      <c r="N368" s="1" t="str">
        <f t="shared" si="32"/>
        <v>High</v>
      </c>
      <c r="O368" s="1">
        <f t="shared" si="33"/>
        <v>0</v>
      </c>
      <c r="P368" s="1" t="str">
        <f t="shared" si="34"/>
        <v>Very High Loan</v>
      </c>
      <c r="Q368" s="1">
        <f t="shared" si="35"/>
        <v>0</v>
      </c>
    </row>
    <row r="369" spans="1:17" x14ac:dyDescent="0.3">
      <c r="A369" s="1" t="s">
        <v>397</v>
      </c>
      <c r="B369" s="1">
        <v>3</v>
      </c>
      <c r="C369" s="1" t="s">
        <v>20</v>
      </c>
      <c r="D369" s="1">
        <v>29078</v>
      </c>
      <c r="E369" s="1">
        <v>1800</v>
      </c>
      <c r="F369" s="2">
        <v>45955</v>
      </c>
      <c r="G369" s="2">
        <v>45955</v>
      </c>
      <c r="H369" s="1">
        <v>0</v>
      </c>
      <c r="I369" s="1" t="s">
        <v>17</v>
      </c>
      <c r="J369" s="1" t="s">
        <v>22</v>
      </c>
      <c r="K369" s="1" t="s">
        <v>54</v>
      </c>
      <c r="L369" s="1">
        <f t="shared" si="30"/>
        <v>0</v>
      </c>
      <c r="M369" s="1" t="str">
        <f t="shared" si="31"/>
        <v>On Time</v>
      </c>
      <c r="N369" s="1" t="str">
        <f t="shared" si="32"/>
        <v>Low</v>
      </c>
      <c r="O369" s="1">
        <f t="shared" si="33"/>
        <v>0</v>
      </c>
      <c r="P369" s="1" t="str">
        <f t="shared" si="34"/>
        <v>Low Loan</v>
      </c>
      <c r="Q369" s="1">
        <f t="shared" si="35"/>
        <v>1</v>
      </c>
    </row>
    <row r="370" spans="1:17" x14ac:dyDescent="0.3">
      <c r="A370" s="1" t="s">
        <v>398</v>
      </c>
      <c r="B370" s="1">
        <v>1</v>
      </c>
      <c r="C370" s="1" t="s">
        <v>12</v>
      </c>
      <c r="D370" s="1">
        <v>45003</v>
      </c>
      <c r="E370" s="1">
        <v>2000</v>
      </c>
      <c r="F370" s="2">
        <v>45951</v>
      </c>
      <c r="G370" s="2">
        <v>45954</v>
      </c>
      <c r="H370" s="1">
        <v>3</v>
      </c>
      <c r="I370" s="1" t="s">
        <v>28</v>
      </c>
      <c r="J370" s="1" t="s">
        <v>22</v>
      </c>
      <c r="K370" s="1" t="s">
        <v>32</v>
      </c>
      <c r="L370" s="1">
        <f t="shared" si="30"/>
        <v>1</v>
      </c>
      <c r="M370" s="1" t="str">
        <f t="shared" si="31"/>
        <v>Delayed</v>
      </c>
      <c r="N370" s="1" t="str">
        <f t="shared" si="32"/>
        <v>Medium</v>
      </c>
      <c r="O370" s="1">
        <f t="shared" si="33"/>
        <v>0</v>
      </c>
      <c r="P370" s="1" t="str">
        <f t="shared" si="34"/>
        <v>Mid Loan</v>
      </c>
      <c r="Q370" s="1">
        <f t="shared" si="35"/>
        <v>0</v>
      </c>
    </row>
    <row r="371" spans="1:17" x14ac:dyDescent="0.3">
      <c r="A371" s="1" t="s">
        <v>399</v>
      </c>
      <c r="B371" s="1">
        <v>1</v>
      </c>
      <c r="C371" s="1" t="s">
        <v>30</v>
      </c>
      <c r="D371" s="1">
        <v>82768</v>
      </c>
      <c r="E371" s="1">
        <v>4100</v>
      </c>
      <c r="F371" s="2">
        <v>45942</v>
      </c>
      <c r="G371" s="2">
        <v>45945</v>
      </c>
      <c r="H371" s="1">
        <v>3</v>
      </c>
      <c r="I371" s="1" t="s">
        <v>28</v>
      </c>
      <c r="J371" s="1" t="s">
        <v>22</v>
      </c>
      <c r="K371" s="1" t="s">
        <v>54</v>
      </c>
      <c r="L371" s="1">
        <f t="shared" si="30"/>
        <v>1</v>
      </c>
      <c r="M371" s="1" t="str">
        <f t="shared" si="31"/>
        <v>Delayed</v>
      </c>
      <c r="N371" s="1" t="str">
        <f t="shared" si="32"/>
        <v>Medium</v>
      </c>
      <c r="O371" s="1">
        <f t="shared" si="33"/>
        <v>0</v>
      </c>
      <c r="P371" s="1" t="str">
        <f t="shared" si="34"/>
        <v>Very High Loan</v>
      </c>
      <c r="Q371" s="1">
        <f t="shared" si="35"/>
        <v>0</v>
      </c>
    </row>
    <row r="372" spans="1:17" x14ac:dyDescent="0.3">
      <c r="A372" s="1" t="s">
        <v>400</v>
      </c>
      <c r="B372" s="1">
        <v>1</v>
      </c>
      <c r="C372" s="1" t="s">
        <v>20</v>
      </c>
      <c r="D372" s="1">
        <v>71047</v>
      </c>
      <c r="E372" s="1">
        <v>5100</v>
      </c>
      <c r="F372" s="2">
        <v>45955</v>
      </c>
      <c r="G372" s="2">
        <v>45955</v>
      </c>
      <c r="H372" s="1">
        <v>0</v>
      </c>
      <c r="I372" s="1" t="s">
        <v>21</v>
      </c>
      <c r="J372" s="1" t="s">
        <v>22</v>
      </c>
      <c r="K372" s="1" t="s">
        <v>54</v>
      </c>
      <c r="L372" s="1">
        <f t="shared" si="30"/>
        <v>0</v>
      </c>
      <c r="M372" s="1" t="str">
        <f t="shared" si="31"/>
        <v>On Time</v>
      </c>
      <c r="N372" s="1" t="str">
        <f t="shared" si="32"/>
        <v>Low</v>
      </c>
      <c r="O372" s="1">
        <f t="shared" si="33"/>
        <v>0</v>
      </c>
      <c r="P372" s="1" t="str">
        <f t="shared" si="34"/>
        <v>High Loan</v>
      </c>
      <c r="Q372" s="1">
        <f t="shared" si="35"/>
        <v>1</v>
      </c>
    </row>
    <row r="373" spans="1:17" x14ac:dyDescent="0.3">
      <c r="A373" s="1" t="s">
        <v>401</v>
      </c>
      <c r="B373" s="1">
        <v>1</v>
      </c>
      <c r="C373" s="1" t="s">
        <v>20</v>
      </c>
      <c r="D373" s="1">
        <v>91626</v>
      </c>
      <c r="E373" s="1">
        <v>6500</v>
      </c>
      <c r="F373" s="2">
        <v>45959</v>
      </c>
      <c r="G373" s="2">
        <v>45959</v>
      </c>
      <c r="H373" s="1">
        <v>0</v>
      </c>
      <c r="I373" s="1" t="s">
        <v>21</v>
      </c>
      <c r="J373" s="1" t="s">
        <v>14</v>
      </c>
      <c r="K373" s="1" t="s">
        <v>32</v>
      </c>
      <c r="L373" s="1">
        <f t="shared" si="30"/>
        <v>0</v>
      </c>
      <c r="M373" s="1" t="str">
        <f t="shared" si="31"/>
        <v>On Time</v>
      </c>
      <c r="N373" s="1" t="str">
        <f t="shared" si="32"/>
        <v>Low</v>
      </c>
      <c r="O373" s="1">
        <f t="shared" si="33"/>
        <v>1</v>
      </c>
      <c r="P373" s="1" t="str">
        <f t="shared" si="34"/>
        <v>Very High Loan</v>
      </c>
      <c r="Q373" s="1">
        <f t="shared" si="35"/>
        <v>1</v>
      </c>
    </row>
    <row r="374" spans="1:17" x14ac:dyDescent="0.3">
      <c r="A374" s="1" t="s">
        <v>402</v>
      </c>
      <c r="B374" s="1">
        <v>1</v>
      </c>
      <c r="C374" s="1" t="s">
        <v>12</v>
      </c>
      <c r="D374" s="1">
        <v>77660</v>
      </c>
      <c r="E374" s="1">
        <v>9700</v>
      </c>
      <c r="F374" s="2">
        <v>45939</v>
      </c>
      <c r="G374" s="2">
        <v>45939</v>
      </c>
      <c r="H374" s="1">
        <v>0</v>
      </c>
      <c r="I374" s="1" t="s">
        <v>17</v>
      </c>
      <c r="J374" s="1" t="s">
        <v>22</v>
      </c>
      <c r="K374" s="1" t="s">
        <v>54</v>
      </c>
      <c r="L374" s="1">
        <f t="shared" si="30"/>
        <v>0</v>
      </c>
      <c r="M374" s="1" t="str">
        <f t="shared" si="31"/>
        <v>On Time</v>
      </c>
      <c r="N374" s="1" t="str">
        <f t="shared" si="32"/>
        <v>Low</v>
      </c>
      <c r="O374" s="1">
        <f t="shared" si="33"/>
        <v>0</v>
      </c>
      <c r="P374" s="1" t="str">
        <f t="shared" si="34"/>
        <v>High Loan</v>
      </c>
      <c r="Q374" s="1">
        <f t="shared" si="35"/>
        <v>1</v>
      </c>
    </row>
    <row r="375" spans="1:17" x14ac:dyDescent="0.3">
      <c r="A375" s="1" t="s">
        <v>403</v>
      </c>
      <c r="B375" s="1">
        <v>2</v>
      </c>
      <c r="C375" s="1" t="s">
        <v>20</v>
      </c>
      <c r="D375" s="1">
        <v>69786</v>
      </c>
      <c r="E375" s="1">
        <v>5000</v>
      </c>
      <c r="F375" s="2">
        <v>45931</v>
      </c>
      <c r="G375" s="2">
        <v>45938</v>
      </c>
      <c r="H375" s="1">
        <v>7</v>
      </c>
      <c r="I375" s="1" t="s">
        <v>13</v>
      </c>
      <c r="J375" s="1" t="s">
        <v>14</v>
      </c>
      <c r="K375" s="1" t="s">
        <v>23</v>
      </c>
      <c r="L375" s="1">
        <f t="shared" si="30"/>
        <v>1</v>
      </c>
      <c r="M375" s="1" t="str">
        <f t="shared" si="31"/>
        <v>Delayed</v>
      </c>
      <c r="N375" s="1" t="str">
        <f t="shared" si="32"/>
        <v>Medium</v>
      </c>
      <c r="O375" s="1">
        <f t="shared" si="33"/>
        <v>1</v>
      </c>
      <c r="P375" s="1" t="str">
        <f t="shared" si="34"/>
        <v>High Loan</v>
      </c>
      <c r="Q375" s="1">
        <f t="shared" si="35"/>
        <v>0</v>
      </c>
    </row>
    <row r="376" spans="1:17" x14ac:dyDescent="0.3">
      <c r="A376" s="1" t="s">
        <v>404</v>
      </c>
      <c r="B376" s="1">
        <v>1</v>
      </c>
      <c r="C376" s="1" t="s">
        <v>20</v>
      </c>
      <c r="D376" s="1">
        <v>21925</v>
      </c>
      <c r="E376" s="1">
        <v>1200</v>
      </c>
      <c r="F376" s="2">
        <v>45948</v>
      </c>
      <c r="G376" s="2">
        <v>45948</v>
      </c>
      <c r="H376" s="1">
        <v>0</v>
      </c>
      <c r="I376" s="1" t="s">
        <v>17</v>
      </c>
      <c r="J376" s="1" t="s">
        <v>22</v>
      </c>
      <c r="K376" s="1" t="s">
        <v>32</v>
      </c>
      <c r="L376" s="1">
        <f t="shared" si="30"/>
        <v>0</v>
      </c>
      <c r="M376" s="1" t="str">
        <f t="shared" si="31"/>
        <v>On Time</v>
      </c>
      <c r="N376" s="1" t="str">
        <f t="shared" si="32"/>
        <v>Low</v>
      </c>
      <c r="O376" s="1">
        <f t="shared" si="33"/>
        <v>0</v>
      </c>
      <c r="P376" s="1" t="str">
        <f t="shared" si="34"/>
        <v>Low Loan</v>
      </c>
      <c r="Q376" s="1">
        <f t="shared" si="35"/>
        <v>1</v>
      </c>
    </row>
    <row r="377" spans="1:17" x14ac:dyDescent="0.3">
      <c r="A377" s="1" t="s">
        <v>405</v>
      </c>
      <c r="B377" s="1">
        <v>2</v>
      </c>
      <c r="C377" s="1" t="s">
        <v>20</v>
      </c>
      <c r="D377" s="1">
        <v>46015</v>
      </c>
      <c r="E377" s="1">
        <v>3800</v>
      </c>
      <c r="F377" s="2">
        <v>45951</v>
      </c>
      <c r="G377" s="2">
        <v>45951</v>
      </c>
      <c r="H377" s="1">
        <v>0</v>
      </c>
      <c r="I377" s="1" t="s">
        <v>13</v>
      </c>
      <c r="J377" s="1" t="s">
        <v>22</v>
      </c>
      <c r="K377" s="1" t="s">
        <v>26</v>
      </c>
      <c r="L377" s="1">
        <f t="shared" si="30"/>
        <v>0</v>
      </c>
      <c r="M377" s="1" t="str">
        <f t="shared" si="31"/>
        <v>On Time</v>
      </c>
      <c r="N377" s="1" t="str">
        <f t="shared" si="32"/>
        <v>Low</v>
      </c>
      <c r="O377" s="1">
        <f t="shared" si="33"/>
        <v>0</v>
      </c>
      <c r="P377" s="1" t="str">
        <f t="shared" si="34"/>
        <v>Mid Loan</v>
      </c>
      <c r="Q377" s="1">
        <f t="shared" si="35"/>
        <v>1</v>
      </c>
    </row>
    <row r="378" spans="1:17" x14ac:dyDescent="0.3">
      <c r="A378" s="1" t="s">
        <v>406</v>
      </c>
      <c r="B378" s="1">
        <v>3</v>
      </c>
      <c r="C378" s="1" t="s">
        <v>12</v>
      </c>
      <c r="D378" s="1">
        <v>53320</v>
      </c>
      <c r="E378" s="1">
        <v>2500</v>
      </c>
      <c r="F378" s="2">
        <v>45934</v>
      </c>
      <c r="G378" s="2">
        <v>45937</v>
      </c>
      <c r="H378" s="1">
        <v>3</v>
      </c>
      <c r="I378" s="1" t="s">
        <v>13</v>
      </c>
      <c r="J378" s="1" t="s">
        <v>22</v>
      </c>
      <c r="K378" s="1" t="s">
        <v>44</v>
      </c>
      <c r="L378" s="1">
        <f t="shared" si="30"/>
        <v>1</v>
      </c>
      <c r="M378" s="1" t="str">
        <f t="shared" si="31"/>
        <v>Delayed</v>
      </c>
      <c r="N378" s="1" t="str">
        <f t="shared" si="32"/>
        <v>Medium</v>
      </c>
      <c r="O378" s="1">
        <f t="shared" si="33"/>
        <v>0</v>
      </c>
      <c r="P378" s="1" t="str">
        <f t="shared" si="34"/>
        <v>Mid Loan</v>
      </c>
      <c r="Q378" s="1">
        <f t="shared" si="35"/>
        <v>0</v>
      </c>
    </row>
    <row r="379" spans="1:17" x14ac:dyDescent="0.3">
      <c r="A379" s="1" t="s">
        <v>407</v>
      </c>
      <c r="B379" s="1">
        <v>1</v>
      </c>
      <c r="C379" s="1" t="s">
        <v>12</v>
      </c>
      <c r="D379" s="1">
        <v>84881</v>
      </c>
      <c r="E379" s="1">
        <v>4000</v>
      </c>
      <c r="F379" s="2">
        <v>45940</v>
      </c>
      <c r="G379" s="2">
        <v>45940</v>
      </c>
      <c r="H379" s="1">
        <v>0</v>
      </c>
      <c r="I379" s="1" t="s">
        <v>21</v>
      </c>
      <c r="J379" s="1" t="s">
        <v>14</v>
      </c>
      <c r="K379" s="1" t="s">
        <v>26</v>
      </c>
      <c r="L379" s="1">
        <f t="shared" si="30"/>
        <v>0</v>
      </c>
      <c r="M379" s="1" t="str">
        <f t="shared" si="31"/>
        <v>On Time</v>
      </c>
      <c r="N379" s="1" t="str">
        <f t="shared" si="32"/>
        <v>Low</v>
      </c>
      <c r="O379" s="1">
        <f t="shared" si="33"/>
        <v>1</v>
      </c>
      <c r="P379" s="1" t="str">
        <f t="shared" si="34"/>
        <v>Very High Loan</v>
      </c>
      <c r="Q379" s="1">
        <f t="shared" si="35"/>
        <v>1</v>
      </c>
    </row>
    <row r="380" spans="1:17" x14ac:dyDescent="0.3">
      <c r="A380" s="1" t="s">
        <v>408</v>
      </c>
      <c r="B380" s="1">
        <v>3</v>
      </c>
      <c r="C380" s="1" t="s">
        <v>20</v>
      </c>
      <c r="D380" s="1">
        <v>46289</v>
      </c>
      <c r="E380" s="1">
        <v>7700</v>
      </c>
      <c r="F380" s="2">
        <v>45955</v>
      </c>
      <c r="G380" s="2">
        <v>45955</v>
      </c>
      <c r="H380" s="1">
        <v>0</v>
      </c>
      <c r="I380" s="1" t="s">
        <v>17</v>
      </c>
      <c r="J380" s="1" t="s">
        <v>22</v>
      </c>
      <c r="K380" s="1" t="s">
        <v>44</v>
      </c>
      <c r="L380" s="1">
        <f t="shared" si="30"/>
        <v>0</v>
      </c>
      <c r="M380" s="1" t="str">
        <f t="shared" si="31"/>
        <v>On Time</v>
      </c>
      <c r="N380" s="1" t="str">
        <f t="shared" si="32"/>
        <v>Low</v>
      </c>
      <c r="O380" s="1">
        <f t="shared" si="33"/>
        <v>0</v>
      </c>
      <c r="P380" s="1" t="str">
        <f t="shared" si="34"/>
        <v>Mid Loan</v>
      </c>
      <c r="Q380" s="1">
        <f t="shared" si="35"/>
        <v>1</v>
      </c>
    </row>
    <row r="381" spans="1:17" x14ac:dyDescent="0.3">
      <c r="A381" s="1" t="s">
        <v>409</v>
      </c>
      <c r="B381" s="1">
        <v>2</v>
      </c>
      <c r="C381" s="1" t="s">
        <v>20</v>
      </c>
      <c r="D381" s="1">
        <v>23389</v>
      </c>
      <c r="E381" s="1">
        <v>2600</v>
      </c>
      <c r="F381" s="2">
        <v>45937</v>
      </c>
      <c r="G381" s="2">
        <v>45982</v>
      </c>
      <c r="H381" s="1">
        <v>45</v>
      </c>
      <c r="I381" s="1" t="s">
        <v>17</v>
      </c>
      <c r="J381" s="1" t="s">
        <v>22</v>
      </c>
      <c r="K381" s="1" t="s">
        <v>70</v>
      </c>
      <c r="L381" s="1">
        <f t="shared" si="30"/>
        <v>1</v>
      </c>
      <c r="M381" s="1" t="str">
        <f t="shared" si="31"/>
        <v>Delayed</v>
      </c>
      <c r="N381" s="1" t="str">
        <f t="shared" si="32"/>
        <v>High</v>
      </c>
      <c r="O381" s="1">
        <f t="shared" si="33"/>
        <v>0</v>
      </c>
      <c r="P381" s="1" t="str">
        <f t="shared" si="34"/>
        <v>Low Loan</v>
      </c>
      <c r="Q381" s="1">
        <f t="shared" si="35"/>
        <v>0</v>
      </c>
    </row>
    <row r="382" spans="1:17" x14ac:dyDescent="0.3">
      <c r="A382" s="1" t="s">
        <v>410</v>
      </c>
      <c r="B382" s="1">
        <v>1</v>
      </c>
      <c r="C382" s="1" t="s">
        <v>20</v>
      </c>
      <c r="D382" s="1">
        <v>45683</v>
      </c>
      <c r="E382" s="1">
        <v>5100</v>
      </c>
      <c r="F382" s="2">
        <v>45952</v>
      </c>
      <c r="G382" s="2">
        <v>45997</v>
      </c>
      <c r="H382" s="1">
        <v>45</v>
      </c>
      <c r="I382" s="1" t="s">
        <v>28</v>
      </c>
      <c r="J382" s="1" t="s">
        <v>22</v>
      </c>
      <c r="K382" s="1" t="s">
        <v>15</v>
      </c>
      <c r="L382" s="1">
        <f t="shared" si="30"/>
        <v>1</v>
      </c>
      <c r="M382" s="1" t="str">
        <f t="shared" si="31"/>
        <v>Delayed</v>
      </c>
      <c r="N382" s="1" t="str">
        <f t="shared" si="32"/>
        <v>High</v>
      </c>
      <c r="O382" s="1">
        <f t="shared" si="33"/>
        <v>0</v>
      </c>
      <c r="P382" s="1" t="str">
        <f t="shared" si="34"/>
        <v>Mid Loan</v>
      </c>
      <c r="Q382" s="1">
        <f t="shared" si="35"/>
        <v>0</v>
      </c>
    </row>
    <row r="383" spans="1:17" x14ac:dyDescent="0.3">
      <c r="A383" s="1" t="s">
        <v>411</v>
      </c>
      <c r="B383" s="1">
        <v>2</v>
      </c>
      <c r="C383" s="1" t="s">
        <v>12</v>
      </c>
      <c r="D383" s="1">
        <v>33629</v>
      </c>
      <c r="E383" s="1">
        <v>2800</v>
      </c>
      <c r="F383" s="2">
        <v>45953</v>
      </c>
      <c r="G383" s="2">
        <v>45953</v>
      </c>
      <c r="H383" s="1">
        <v>0</v>
      </c>
      <c r="I383" s="1" t="s">
        <v>17</v>
      </c>
      <c r="J383" s="1" t="s">
        <v>22</v>
      </c>
      <c r="K383" s="1" t="s">
        <v>18</v>
      </c>
      <c r="L383" s="1">
        <f t="shared" si="30"/>
        <v>0</v>
      </c>
      <c r="M383" s="1" t="str">
        <f t="shared" si="31"/>
        <v>On Time</v>
      </c>
      <c r="N383" s="1" t="str">
        <f t="shared" si="32"/>
        <v>Low</v>
      </c>
      <c r="O383" s="1">
        <f t="shared" si="33"/>
        <v>0</v>
      </c>
      <c r="P383" s="1" t="str">
        <f t="shared" si="34"/>
        <v>Low Loan</v>
      </c>
      <c r="Q383" s="1">
        <f t="shared" si="35"/>
        <v>1</v>
      </c>
    </row>
    <row r="384" spans="1:17" x14ac:dyDescent="0.3">
      <c r="A384" s="1" t="s">
        <v>412</v>
      </c>
      <c r="B384" s="1">
        <v>2</v>
      </c>
      <c r="C384" s="1" t="s">
        <v>20</v>
      </c>
      <c r="D384" s="1">
        <v>81550</v>
      </c>
      <c r="E384" s="1">
        <v>6300</v>
      </c>
      <c r="F384" s="2">
        <v>45931</v>
      </c>
      <c r="G384" s="2">
        <v>45931</v>
      </c>
      <c r="H384" s="1">
        <v>0</v>
      </c>
      <c r="I384" s="1" t="s">
        <v>28</v>
      </c>
      <c r="J384" s="1" t="s">
        <v>22</v>
      </c>
      <c r="K384" s="1" t="s">
        <v>54</v>
      </c>
      <c r="L384" s="1">
        <f t="shared" si="30"/>
        <v>0</v>
      </c>
      <c r="M384" s="1" t="str">
        <f t="shared" si="31"/>
        <v>On Time</v>
      </c>
      <c r="N384" s="1" t="str">
        <f t="shared" si="32"/>
        <v>Low</v>
      </c>
      <c r="O384" s="1">
        <f t="shared" si="33"/>
        <v>0</v>
      </c>
      <c r="P384" s="1" t="str">
        <f t="shared" si="34"/>
        <v>Very High Loan</v>
      </c>
      <c r="Q384" s="1">
        <f t="shared" si="35"/>
        <v>1</v>
      </c>
    </row>
    <row r="385" spans="1:17" x14ac:dyDescent="0.3">
      <c r="A385" s="1" t="s">
        <v>413</v>
      </c>
      <c r="B385" s="1">
        <v>3</v>
      </c>
      <c r="C385" s="1" t="s">
        <v>20</v>
      </c>
      <c r="D385" s="1">
        <v>44826</v>
      </c>
      <c r="E385" s="1">
        <v>2000</v>
      </c>
      <c r="F385" s="2">
        <v>45947</v>
      </c>
      <c r="G385" s="2">
        <v>45954</v>
      </c>
      <c r="H385" s="1">
        <v>7</v>
      </c>
      <c r="I385" s="1" t="s">
        <v>21</v>
      </c>
      <c r="J385" s="1" t="s">
        <v>22</v>
      </c>
      <c r="K385" s="1" t="s">
        <v>34</v>
      </c>
      <c r="L385" s="1">
        <f t="shared" si="30"/>
        <v>1</v>
      </c>
      <c r="M385" s="1" t="str">
        <f t="shared" si="31"/>
        <v>Delayed</v>
      </c>
      <c r="N385" s="1" t="str">
        <f t="shared" si="32"/>
        <v>Medium</v>
      </c>
      <c r="O385" s="1">
        <f t="shared" si="33"/>
        <v>0</v>
      </c>
      <c r="P385" s="1" t="str">
        <f t="shared" si="34"/>
        <v>Mid Loan</v>
      </c>
      <c r="Q385" s="1">
        <f t="shared" si="35"/>
        <v>0</v>
      </c>
    </row>
    <row r="386" spans="1:17" x14ac:dyDescent="0.3">
      <c r="A386" s="1" t="s">
        <v>414</v>
      </c>
      <c r="B386" s="1">
        <v>3</v>
      </c>
      <c r="C386" s="1" t="s">
        <v>12</v>
      </c>
      <c r="D386" s="1">
        <v>46630</v>
      </c>
      <c r="E386" s="1">
        <v>4700</v>
      </c>
      <c r="F386" s="2">
        <v>45954</v>
      </c>
      <c r="G386" s="2">
        <v>45954</v>
      </c>
      <c r="H386" s="1">
        <v>0</v>
      </c>
      <c r="I386" s="1" t="s">
        <v>17</v>
      </c>
      <c r="J386" s="1" t="s">
        <v>22</v>
      </c>
      <c r="K386" s="1" t="s">
        <v>44</v>
      </c>
      <c r="L386" s="1">
        <f t="shared" si="30"/>
        <v>0</v>
      </c>
      <c r="M386" s="1" t="str">
        <f t="shared" si="31"/>
        <v>On Time</v>
      </c>
      <c r="N386" s="1" t="str">
        <f t="shared" si="32"/>
        <v>Low</v>
      </c>
      <c r="O386" s="1">
        <f t="shared" si="33"/>
        <v>0</v>
      </c>
      <c r="P386" s="1" t="str">
        <f t="shared" si="34"/>
        <v>Mid Loan</v>
      </c>
      <c r="Q386" s="1">
        <f t="shared" si="35"/>
        <v>1</v>
      </c>
    </row>
    <row r="387" spans="1:17" x14ac:dyDescent="0.3">
      <c r="A387" s="1" t="s">
        <v>415</v>
      </c>
      <c r="B387" s="1">
        <v>3</v>
      </c>
      <c r="C387" s="1" t="s">
        <v>20</v>
      </c>
      <c r="D387" s="1">
        <v>66163</v>
      </c>
      <c r="E387" s="1">
        <v>5500</v>
      </c>
      <c r="F387" s="2">
        <v>45959</v>
      </c>
      <c r="G387" s="2">
        <v>45959</v>
      </c>
      <c r="H387" s="1">
        <v>0</v>
      </c>
      <c r="I387" s="1" t="s">
        <v>28</v>
      </c>
      <c r="J387" s="1" t="s">
        <v>22</v>
      </c>
      <c r="K387" s="1" t="s">
        <v>34</v>
      </c>
      <c r="L387" s="1">
        <f t="shared" ref="L387:L450" si="36">IF(H387&gt;0,1,0)</f>
        <v>0</v>
      </c>
      <c r="M387" s="1" t="str">
        <f t="shared" ref="M387:M450" si="37">IF(H387=0,"On Time","Delayed")</f>
        <v>On Time</v>
      </c>
      <c r="N387" s="1" t="str">
        <f t="shared" ref="N387:N450" si="38">_xlfn.IFS(H387=0,"Low",H387&lt;=14,"Medium",H387&gt;14,"High")</f>
        <v>Low</v>
      </c>
      <c r="O387" s="1">
        <f t="shared" ref="O387:O450" si="39">IF(J387="Yes",1,0)</f>
        <v>0</v>
      </c>
      <c r="P387" s="1" t="str">
        <f t="shared" ref="P387:P450" si="40">_xlfn.IFS(
 D387&lt;=$V$16,"Low Loan",
 D387&lt;=$V$17,"Mid Loan",
 D387&lt;=$V$18,"High Loan",
 TRUE,"Very High Loan"
)</f>
        <v>High Loan</v>
      </c>
      <c r="Q387" s="1">
        <f t="shared" ref="Q387:Q450" si="41">IF(H387=0,1,0)</f>
        <v>1</v>
      </c>
    </row>
    <row r="388" spans="1:17" x14ac:dyDescent="0.3">
      <c r="A388" s="1" t="s">
        <v>416</v>
      </c>
      <c r="B388" s="1">
        <v>2</v>
      </c>
      <c r="C388" s="1" t="s">
        <v>12</v>
      </c>
      <c r="D388" s="1">
        <v>86435</v>
      </c>
      <c r="E388" s="1">
        <v>9600</v>
      </c>
      <c r="F388" s="2">
        <v>45959</v>
      </c>
      <c r="G388" s="2">
        <v>45959</v>
      </c>
      <c r="H388" s="1">
        <v>0</v>
      </c>
      <c r="I388" s="1" t="s">
        <v>28</v>
      </c>
      <c r="J388" s="1" t="s">
        <v>14</v>
      </c>
      <c r="K388" s="1" t="s">
        <v>15</v>
      </c>
      <c r="L388" s="1">
        <f t="shared" si="36"/>
        <v>0</v>
      </c>
      <c r="M388" s="1" t="str">
        <f t="shared" si="37"/>
        <v>On Time</v>
      </c>
      <c r="N388" s="1" t="str">
        <f t="shared" si="38"/>
        <v>Low</v>
      </c>
      <c r="O388" s="1">
        <f t="shared" si="39"/>
        <v>1</v>
      </c>
      <c r="P388" s="1" t="str">
        <f t="shared" si="40"/>
        <v>Very High Loan</v>
      </c>
      <c r="Q388" s="1">
        <f t="shared" si="41"/>
        <v>1</v>
      </c>
    </row>
    <row r="389" spans="1:17" x14ac:dyDescent="0.3">
      <c r="A389" s="1" t="s">
        <v>417</v>
      </c>
      <c r="B389" s="1">
        <v>1</v>
      </c>
      <c r="C389" s="1" t="s">
        <v>20</v>
      </c>
      <c r="D389" s="1">
        <v>31653</v>
      </c>
      <c r="E389" s="1">
        <v>2900</v>
      </c>
      <c r="F389" s="2">
        <v>45932</v>
      </c>
      <c r="G389" s="2">
        <v>45932</v>
      </c>
      <c r="H389" s="1">
        <v>0</v>
      </c>
      <c r="I389" s="1" t="s">
        <v>13</v>
      </c>
      <c r="J389" s="1" t="s">
        <v>22</v>
      </c>
      <c r="K389" s="1" t="s">
        <v>18</v>
      </c>
      <c r="L389" s="1">
        <f t="shared" si="36"/>
        <v>0</v>
      </c>
      <c r="M389" s="1" t="str">
        <f t="shared" si="37"/>
        <v>On Time</v>
      </c>
      <c r="N389" s="1" t="str">
        <f t="shared" si="38"/>
        <v>Low</v>
      </c>
      <c r="O389" s="1">
        <f t="shared" si="39"/>
        <v>0</v>
      </c>
      <c r="P389" s="1" t="str">
        <f t="shared" si="40"/>
        <v>Low Loan</v>
      </c>
      <c r="Q389" s="1">
        <f t="shared" si="41"/>
        <v>1</v>
      </c>
    </row>
    <row r="390" spans="1:17" x14ac:dyDescent="0.3">
      <c r="A390" s="1" t="s">
        <v>418</v>
      </c>
      <c r="B390" s="1">
        <v>3</v>
      </c>
      <c r="C390" s="1" t="s">
        <v>20</v>
      </c>
      <c r="D390" s="1">
        <v>47961</v>
      </c>
      <c r="E390" s="1">
        <v>4000</v>
      </c>
      <c r="F390" s="2">
        <v>45958</v>
      </c>
      <c r="G390" s="2">
        <v>45961</v>
      </c>
      <c r="H390" s="1">
        <v>3</v>
      </c>
      <c r="I390" s="1" t="s">
        <v>17</v>
      </c>
      <c r="J390" s="1" t="s">
        <v>22</v>
      </c>
      <c r="K390" s="1" t="s">
        <v>56</v>
      </c>
      <c r="L390" s="1">
        <f t="shared" si="36"/>
        <v>1</v>
      </c>
      <c r="M390" s="1" t="str">
        <f t="shared" si="37"/>
        <v>Delayed</v>
      </c>
      <c r="N390" s="1" t="str">
        <f t="shared" si="38"/>
        <v>Medium</v>
      </c>
      <c r="O390" s="1">
        <f t="shared" si="39"/>
        <v>0</v>
      </c>
      <c r="P390" s="1" t="str">
        <f t="shared" si="40"/>
        <v>Mid Loan</v>
      </c>
      <c r="Q390" s="1">
        <f t="shared" si="41"/>
        <v>0</v>
      </c>
    </row>
    <row r="391" spans="1:17" x14ac:dyDescent="0.3">
      <c r="A391" s="1" t="s">
        <v>419</v>
      </c>
      <c r="B391" s="1">
        <v>3</v>
      </c>
      <c r="C391" s="1" t="s">
        <v>20</v>
      </c>
      <c r="D391" s="1">
        <v>94137</v>
      </c>
      <c r="E391" s="1">
        <v>4100</v>
      </c>
      <c r="F391" s="2">
        <v>45956</v>
      </c>
      <c r="G391" s="2">
        <v>45956</v>
      </c>
      <c r="H391" s="1">
        <v>0</v>
      </c>
      <c r="I391" s="1" t="s">
        <v>28</v>
      </c>
      <c r="J391" s="1" t="s">
        <v>22</v>
      </c>
      <c r="K391" s="1" t="s">
        <v>70</v>
      </c>
      <c r="L391" s="1">
        <f t="shared" si="36"/>
        <v>0</v>
      </c>
      <c r="M391" s="1" t="str">
        <f t="shared" si="37"/>
        <v>On Time</v>
      </c>
      <c r="N391" s="1" t="str">
        <f t="shared" si="38"/>
        <v>Low</v>
      </c>
      <c r="O391" s="1">
        <f t="shared" si="39"/>
        <v>0</v>
      </c>
      <c r="P391" s="1" t="str">
        <f t="shared" si="40"/>
        <v>Very High Loan</v>
      </c>
      <c r="Q391" s="1">
        <f t="shared" si="41"/>
        <v>1</v>
      </c>
    </row>
    <row r="392" spans="1:17" x14ac:dyDescent="0.3">
      <c r="A392" s="1" t="s">
        <v>420</v>
      </c>
      <c r="B392" s="1">
        <v>3</v>
      </c>
      <c r="C392" s="1" t="s">
        <v>12</v>
      </c>
      <c r="D392" s="1">
        <v>53662</v>
      </c>
      <c r="E392" s="1">
        <v>5400</v>
      </c>
      <c r="F392" s="2">
        <v>45941</v>
      </c>
      <c r="G392" s="2">
        <v>45944</v>
      </c>
      <c r="H392" s="1">
        <v>3</v>
      </c>
      <c r="I392" s="1" t="s">
        <v>17</v>
      </c>
      <c r="J392" s="1" t="s">
        <v>14</v>
      </c>
      <c r="K392" s="1" t="s">
        <v>15</v>
      </c>
      <c r="L392" s="1">
        <f t="shared" si="36"/>
        <v>1</v>
      </c>
      <c r="M392" s="1" t="str">
        <f t="shared" si="37"/>
        <v>Delayed</v>
      </c>
      <c r="N392" s="1" t="str">
        <f t="shared" si="38"/>
        <v>Medium</v>
      </c>
      <c r="O392" s="1">
        <f t="shared" si="39"/>
        <v>1</v>
      </c>
      <c r="P392" s="1" t="str">
        <f t="shared" si="40"/>
        <v>Mid Loan</v>
      </c>
      <c r="Q392" s="1">
        <f t="shared" si="41"/>
        <v>0</v>
      </c>
    </row>
    <row r="393" spans="1:17" x14ac:dyDescent="0.3">
      <c r="A393" s="1" t="s">
        <v>421</v>
      </c>
      <c r="B393" s="1">
        <v>2</v>
      </c>
      <c r="C393" s="1" t="s">
        <v>12</v>
      </c>
      <c r="D393" s="1">
        <v>76446</v>
      </c>
      <c r="E393" s="1">
        <v>9600</v>
      </c>
      <c r="F393" s="2">
        <v>45939</v>
      </c>
      <c r="G393" s="2">
        <v>45969</v>
      </c>
      <c r="H393" s="1">
        <v>30</v>
      </c>
      <c r="I393" s="1" t="s">
        <v>21</v>
      </c>
      <c r="J393" s="1" t="s">
        <v>22</v>
      </c>
      <c r="K393" s="1" t="s">
        <v>54</v>
      </c>
      <c r="L393" s="1">
        <f t="shared" si="36"/>
        <v>1</v>
      </c>
      <c r="M393" s="1" t="str">
        <f t="shared" si="37"/>
        <v>Delayed</v>
      </c>
      <c r="N393" s="1" t="str">
        <f t="shared" si="38"/>
        <v>High</v>
      </c>
      <c r="O393" s="1">
        <f t="shared" si="39"/>
        <v>0</v>
      </c>
      <c r="P393" s="1" t="str">
        <f t="shared" si="40"/>
        <v>High Loan</v>
      </c>
      <c r="Q393" s="1">
        <f t="shared" si="41"/>
        <v>0</v>
      </c>
    </row>
    <row r="394" spans="1:17" x14ac:dyDescent="0.3">
      <c r="A394" s="1" t="s">
        <v>422</v>
      </c>
      <c r="B394" s="1">
        <v>2</v>
      </c>
      <c r="C394" s="1" t="s">
        <v>12</v>
      </c>
      <c r="D394" s="1">
        <v>41288</v>
      </c>
      <c r="E394" s="1">
        <v>3400</v>
      </c>
      <c r="F394" s="2">
        <v>45937</v>
      </c>
      <c r="G394" s="2">
        <v>45937</v>
      </c>
      <c r="H394" s="1">
        <v>0</v>
      </c>
      <c r="I394" s="1" t="s">
        <v>21</v>
      </c>
      <c r="J394" s="1" t="s">
        <v>22</v>
      </c>
      <c r="K394" s="1" t="s">
        <v>32</v>
      </c>
      <c r="L394" s="1">
        <f t="shared" si="36"/>
        <v>0</v>
      </c>
      <c r="M394" s="1" t="str">
        <f t="shared" si="37"/>
        <v>On Time</v>
      </c>
      <c r="N394" s="1" t="str">
        <f t="shared" si="38"/>
        <v>Low</v>
      </c>
      <c r="O394" s="1">
        <f t="shared" si="39"/>
        <v>0</v>
      </c>
      <c r="P394" s="1" t="str">
        <f t="shared" si="40"/>
        <v>Low Loan</v>
      </c>
      <c r="Q394" s="1">
        <f t="shared" si="41"/>
        <v>1</v>
      </c>
    </row>
    <row r="395" spans="1:17" x14ac:dyDescent="0.3">
      <c r="A395" s="1" t="s">
        <v>423</v>
      </c>
      <c r="B395" s="1">
        <v>3</v>
      </c>
      <c r="C395" s="1" t="s">
        <v>20</v>
      </c>
      <c r="D395" s="1">
        <v>56877</v>
      </c>
      <c r="E395" s="1">
        <v>3000</v>
      </c>
      <c r="F395" s="2">
        <v>45952</v>
      </c>
      <c r="G395" s="2">
        <v>45959</v>
      </c>
      <c r="H395" s="1">
        <v>7</v>
      </c>
      <c r="I395" s="1" t="s">
        <v>13</v>
      </c>
      <c r="J395" s="1" t="s">
        <v>22</v>
      </c>
      <c r="K395" s="1" t="s">
        <v>23</v>
      </c>
      <c r="L395" s="1">
        <f t="shared" si="36"/>
        <v>1</v>
      </c>
      <c r="M395" s="1" t="str">
        <f t="shared" si="37"/>
        <v>Delayed</v>
      </c>
      <c r="N395" s="1" t="str">
        <f t="shared" si="38"/>
        <v>Medium</v>
      </c>
      <c r="O395" s="1">
        <f t="shared" si="39"/>
        <v>0</v>
      </c>
      <c r="P395" s="1" t="str">
        <f t="shared" si="40"/>
        <v>Mid Loan</v>
      </c>
      <c r="Q395" s="1">
        <f t="shared" si="41"/>
        <v>0</v>
      </c>
    </row>
    <row r="396" spans="1:17" x14ac:dyDescent="0.3">
      <c r="A396" s="1" t="s">
        <v>424</v>
      </c>
      <c r="B396" s="1">
        <v>2</v>
      </c>
      <c r="C396" s="1" t="s">
        <v>12</v>
      </c>
      <c r="D396" s="1">
        <v>35313</v>
      </c>
      <c r="E396" s="1">
        <v>2900</v>
      </c>
      <c r="F396" s="2">
        <v>45947</v>
      </c>
      <c r="G396" s="2">
        <v>45977</v>
      </c>
      <c r="H396" s="1">
        <v>30</v>
      </c>
      <c r="I396" s="1" t="s">
        <v>17</v>
      </c>
      <c r="J396" s="1" t="s">
        <v>22</v>
      </c>
      <c r="K396" s="1" t="s">
        <v>54</v>
      </c>
      <c r="L396" s="1">
        <f t="shared" si="36"/>
        <v>1</v>
      </c>
      <c r="M396" s="1" t="str">
        <f t="shared" si="37"/>
        <v>Delayed</v>
      </c>
      <c r="N396" s="1" t="str">
        <f t="shared" si="38"/>
        <v>High</v>
      </c>
      <c r="O396" s="1">
        <f t="shared" si="39"/>
        <v>0</v>
      </c>
      <c r="P396" s="1" t="str">
        <f t="shared" si="40"/>
        <v>Low Loan</v>
      </c>
      <c r="Q396" s="1">
        <f t="shared" si="41"/>
        <v>0</v>
      </c>
    </row>
    <row r="397" spans="1:17" x14ac:dyDescent="0.3">
      <c r="A397" s="1" t="s">
        <v>425</v>
      </c>
      <c r="B397" s="1">
        <v>3</v>
      </c>
      <c r="C397" s="1" t="s">
        <v>20</v>
      </c>
      <c r="D397" s="1">
        <v>92715</v>
      </c>
      <c r="E397" s="1">
        <v>9300</v>
      </c>
      <c r="F397" s="2">
        <v>45947</v>
      </c>
      <c r="G397" s="2">
        <v>45947</v>
      </c>
      <c r="H397" s="1">
        <v>0</v>
      </c>
      <c r="I397" s="1" t="s">
        <v>21</v>
      </c>
      <c r="J397" s="1" t="s">
        <v>22</v>
      </c>
      <c r="K397" s="1" t="s">
        <v>54</v>
      </c>
      <c r="L397" s="1">
        <f t="shared" si="36"/>
        <v>0</v>
      </c>
      <c r="M397" s="1" t="str">
        <f t="shared" si="37"/>
        <v>On Time</v>
      </c>
      <c r="N397" s="1" t="str">
        <f t="shared" si="38"/>
        <v>Low</v>
      </c>
      <c r="O397" s="1">
        <f t="shared" si="39"/>
        <v>0</v>
      </c>
      <c r="P397" s="1" t="str">
        <f t="shared" si="40"/>
        <v>Very High Loan</v>
      </c>
      <c r="Q397" s="1">
        <f t="shared" si="41"/>
        <v>1</v>
      </c>
    </row>
    <row r="398" spans="1:17" x14ac:dyDescent="0.3">
      <c r="A398" s="1" t="s">
        <v>426</v>
      </c>
      <c r="B398" s="1">
        <v>3</v>
      </c>
      <c r="C398" s="1" t="s">
        <v>20</v>
      </c>
      <c r="D398" s="1">
        <v>30326</v>
      </c>
      <c r="E398" s="1">
        <v>3000</v>
      </c>
      <c r="F398" s="2">
        <v>45932</v>
      </c>
      <c r="G398" s="2">
        <v>45932</v>
      </c>
      <c r="H398" s="1">
        <v>0</v>
      </c>
      <c r="I398" s="1" t="s">
        <v>17</v>
      </c>
      <c r="J398" s="1" t="s">
        <v>22</v>
      </c>
      <c r="K398" s="1" t="s">
        <v>70</v>
      </c>
      <c r="L398" s="1">
        <f t="shared" si="36"/>
        <v>0</v>
      </c>
      <c r="M398" s="1" t="str">
        <f t="shared" si="37"/>
        <v>On Time</v>
      </c>
      <c r="N398" s="1" t="str">
        <f t="shared" si="38"/>
        <v>Low</v>
      </c>
      <c r="O398" s="1">
        <f t="shared" si="39"/>
        <v>0</v>
      </c>
      <c r="P398" s="1" t="str">
        <f t="shared" si="40"/>
        <v>Low Loan</v>
      </c>
      <c r="Q398" s="1">
        <f t="shared" si="41"/>
        <v>1</v>
      </c>
    </row>
    <row r="399" spans="1:17" x14ac:dyDescent="0.3">
      <c r="A399" s="1" t="s">
        <v>427</v>
      </c>
      <c r="B399" s="1">
        <v>2</v>
      </c>
      <c r="C399" s="1" t="s">
        <v>12</v>
      </c>
      <c r="D399" s="1">
        <v>21560</v>
      </c>
      <c r="E399" s="1">
        <v>3100</v>
      </c>
      <c r="F399" s="2">
        <v>45936</v>
      </c>
      <c r="G399" s="2">
        <v>45939</v>
      </c>
      <c r="H399" s="1">
        <v>3</v>
      </c>
      <c r="I399" s="1" t="s">
        <v>13</v>
      </c>
      <c r="J399" s="1" t="s">
        <v>22</v>
      </c>
      <c r="K399" s="1" t="s">
        <v>44</v>
      </c>
      <c r="L399" s="1">
        <f t="shared" si="36"/>
        <v>1</v>
      </c>
      <c r="M399" s="1" t="str">
        <f t="shared" si="37"/>
        <v>Delayed</v>
      </c>
      <c r="N399" s="1" t="str">
        <f t="shared" si="38"/>
        <v>Medium</v>
      </c>
      <c r="O399" s="1">
        <f t="shared" si="39"/>
        <v>0</v>
      </c>
      <c r="P399" s="1" t="str">
        <f t="shared" si="40"/>
        <v>Low Loan</v>
      </c>
      <c r="Q399" s="1">
        <f t="shared" si="41"/>
        <v>0</v>
      </c>
    </row>
    <row r="400" spans="1:17" x14ac:dyDescent="0.3">
      <c r="A400" s="1" t="s">
        <v>428</v>
      </c>
      <c r="B400" s="1">
        <v>3</v>
      </c>
      <c r="C400" s="1" t="s">
        <v>20</v>
      </c>
      <c r="D400" s="1">
        <v>99148</v>
      </c>
      <c r="E400" s="1">
        <v>9000</v>
      </c>
      <c r="F400" s="2">
        <v>45944</v>
      </c>
      <c r="G400" s="2">
        <v>45947</v>
      </c>
      <c r="H400" s="1">
        <v>3</v>
      </c>
      <c r="I400" s="1" t="s">
        <v>28</v>
      </c>
      <c r="J400" s="1" t="s">
        <v>14</v>
      </c>
      <c r="K400" s="1" t="s">
        <v>18</v>
      </c>
      <c r="L400" s="1">
        <f t="shared" si="36"/>
        <v>1</v>
      </c>
      <c r="M400" s="1" t="str">
        <f t="shared" si="37"/>
        <v>Delayed</v>
      </c>
      <c r="N400" s="1" t="str">
        <f t="shared" si="38"/>
        <v>Medium</v>
      </c>
      <c r="O400" s="1">
        <f t="shared" si="39"/>
        <v>1</v>
      </c>
      <c r="P400" s="1" t="str">
        <f t="shared" si="40"/>
        <v>Very High Loan</v>
      </c>
      <c r="Q400" s="1">
        <f t="shared" si="41"/>
        <v>0</v>
      </c>
    </row>
    <row r="401" spans="1:17" x14ac:dyDescent="0.3">
      <c r="A401" s="1" t="s">
        <v>429</v>
      </c>
      <c r="B401" s="1">
        <v>3</v>
      </c>
      <c r="C401" s="1" t="s">
        <v>20</v>
      </c>
      <c r="D401" s="1">
        <v>46745</v>
      </c>
      <c r="E401" s="1">
        <v>2300</v>
      </c>
      <c r="F401" s="2">
        <v>45936</v>
      </c>
      <c r="G401" s="2">
        <v>45951</v>
      </c>
      <c r="H401" s="1">
        <v>15</v>
      </c>
      <c r="I401" s="1" t="s">
        <v>28</v>
      </c>
      <c r="J401" s="1" t="s">
        <v>22</v>
      </c>
      <c r="K401" s="1" t="s">
        <v>15</v>
      </c>
      <c r="L401" s="1">
        <f t="shared" si="36"/>
        <v>1</v>
      </c>
      <c r="M401" s="1" t="str">
        <f t="shared" si="37"/>
        <v>Delayed</v>
      </c>
      <c r="N401" s="1" t="str">
        <f t="shared" si="38"/>
        <v>High</v>
      </c>
      <c r="O401" s="1">
        <f t="shared" si="39"/>
        <v>0</v>
      </c>
      <c r="P401" s="1" t="str">
        <f t="shared" si="40"/>
        <v>Mid Loan</v>
      </c>
      <c r="Q401" s="1">
        <f t="shared" si="41"/>
        <v>0</v>
      </c>
    </row>
    <row r="402" spans="1:17" x14ac:dyDescent="0.3">
      <c r="A402" s="1" t="s">
        <v>430</v>
      </c>
      <c r="B402" s="1">
        <v>1</v>
      </c>
      <c r="C402" s="1" t="s">
        <v>20</v>
      </c>
      <c r="D402" s="1">
        <v>51890</v>
      </c>
      <c r="E402" s="1">
        <v>3500</v>
      </c>
      <c r="F402" s="2">
        <v>45932</v>
      </c>
      <c r="G402" s="2">
        <v>45932</v>
      </c>
      <c r="H402" s="1">
        <v>0</v>
      </c>
      <c r="I402" s="1" t="s">
        <v>28</v>
      </c>
      <c r="J402" s="1" t="s">
        <v>22</v>
      </c>
      <c r="K402" s="1" t="s">
        <v>15</v>
      </c>
      <c r="L402" s="1">
        <f t="shared" si="36"/>
        <v>0</v>
      </c>
      <c r="M402" s="1" t="str">
        <f t="shared" si="37"/>
        <v>On Time</v>
      </c>
      <c r="N402" s="1" t="str">
        <f t="shared" si="38"/>
        <v>Low</v>
      </c>
      <c r="O402" s="1">
        <f t="shared" si="39"/>
        <v>0</v>
      </c>
      <c r="P402" s="1" t="str">
        <f t="shared" si="40"/>
        <v>Mid Loan</v>
      </c>
      <c r="Q402" s="1">
        <f t="shared" si="41"/>
        <v>1</v>
      </c>
    </row>
    <row r="403" spans="1:17" x14ac:dyDescent="0.3">
      <c r="A403" s="1" t="s">
        <v>431</v>
      </c>
      <c r="B403" s="1">
        <v>3</v>
      </c>
      <c r="C403" s="1" t="s">
        <v>20</v>
      </c>
      <c r="D403" s="1">
        <v>40022</v>
      </c>
      <c r="E403" s="1">
        <v>3300</v>
      </c>
      <c r="F403" s="2">
        <v>45931</v>
      </c>
      <c r="G403" s="2">
        <v>45991</v>
      </c>
      <c r="H403" s="1">
        <v>60</v>
      </c>
      <c r="I403" s="1" t="s">
        <v>17</v>
      </c>
      <c r="J403" s="1" t="s">
        <v>22</v>
      </c>
      <c r="K403" s="1" t="s">
        <v>15</v>
      </c>
      <c r="L403" s="1">
        <f t="shared" si="36"/>
        <v>1</v>
      </c>
      <c r="M403" s="1" t="str">
        <f t="shared" si="37"/>
        <v>Delayed</v>
      </c>
      <c r="N403" s="1" t="str">
        <f t="shared" si="38"/>
        <v>High</v>
      </c>
      <c r="O403" s="1">
        <f t="shared" si="39"/>
        <v>0</v>
      </c>
      <c r="P403" s="1" t="str">
        <f t="shared" si="40"/>
        <v>Low Loan</v>
      </c>
      <c r="Q403" s="1">
        <f t="shared" si="41"/>
        <v>0</v>
      </c>
    </row>
    <row r="404" spans="1:17" x14ac:dyDescent="0.3">
      <c r="A404" s="1" t="s">
        <v>432</v>
      </c>
      <c r="B404" s="1">
        <v>2</v>
      </c>
      <c r="C404" s="1" t="s">
        <v>20</v>
      </c>
      <c r="D404" s="1">
        <v>72579</v>
      </c>
      <c r="E404" s="1">
        <v>7300</v>
      </c>
      <c r="F404" s="2">
        <v>45940</v>
      </c>
      <c r="G404" s="2">
        <v>45940</v>
      </c>
      <c r="H404" s="1">
        <v>0</v>
      </c>
      <c r="I404" s="1" t="s">
        <v>17</v>
      </c>
      <c r="J404" s="1" t="s">
        <v>22</v>
      </c>
      <c r="K404" s="1" t="s">
        <v>32</v>
      </c>
      <c r="L404" s="1">
        <f t="shared" si="36"/>
        <v>0</v>
      </c>
      <c r="M404" s="1" t="str">
        <f t="shared" si="37"/>
        <v>On Time</v>
      </c>
      <c r="N404" s="1" t="str">
        <f t="shared" si="38"/>
        <v>Low</v>
      </c>
      <c r="O404" s="1">
        <f t="shared" si="39"/>
        <v>0</v>
      </c>
      <c r="P404" s="1" t="str">
        <f t="shared" si="40"/>
        <v>High Loan</v>
      </c>
      <c r="Q404" s="1">
        <f t="shared" si="41"/>
        <v>1</v>
      </c>
    </row>
    <row r="405" spans="1:17" x14ac:dyDescent="0.3">
      <c r="A405" s="1" t="s">
        <v>433</v>
      </c>
      <c r="B405" s="1">
        <v>3</v>
      </c>
      <c r="C405" s="1" t="s">
        <v>12</v>
      </c>
      <c r="D405" s="1">
        <v>90316</v>
      </c>
      <c r="E405" s="1">
        <v>15100</v>
      </c>
      <c r="F405" s="2">
        <v>45951</v>
      </c>
      <c r="G405" s="2">
        <v>45951</v>
      </c>
      <c r="H405" s="1">
        <v>0</v>
      </c>
      <c r="I405" s="1" t="s">
        <v>17</v>
      </c>
      <c r="J405" s="1" t="s">
        <v>22</v>
      </c>
      <c r="K405" s="1" t="s">
        <v>23</v>
      </c>
      <c r="L405" s="1">
        <f t="shared" si="36"/>
        <v>0</v>
      </c>
      <c r="M405" s="1" t="str">
        <f t="shared" si="37"/>
        <v>On Time</v>
      </c>
      <c r="N405" s="1" t="str">
        <f t="shared" si="38"/>
        <v>Low</v>
      </c>
      <c r="O405" s="1">
        <f t="shared" si="39"/>
        <v>0</v>
      </c>
      <c r="P405" s="1" t="str">
        <f t="shared" si="40"/>
        <v>Very High Loan</v>
      </c>
      <c r="Q405" s="1">
        <f t="shared" si="41"/>
        <v>1</v>
      </c>
    </row>
    <row r="406" spans="1:17" x14ac:dyDescent="0.3">
      <c r="A406" s="1" t="s">
        <v>434</v>
      </c>
      <c r="B406" s="1">
        <v>2</v>
      </c>
      <c r="C406" s="1" t="s">
        <v>20</v>
      </c>
      <c r="D406" s="1">
        <v>48380</v>
      </c>
      <c r="E406" s="1">
        <v>2700</v>
      </c>
      <c r="F406" s="2">
        <v>45935</v>
      </c>
      <c r="G406" s="2">
        <v>45938</v>
      </c>
      <c r="H406" s="1">
        <v>3</v>
      </c>
      <c r="I406" s="1" t="s">
        <v>13</v>
      </c>
      <c r="J406" s="1" t="s">
        <v>14</v>
      </c>
      <c r="K406" s="1" t="s">
        <v>54</v>
      </c>
      <c r="L406" s="1">
        <f t="shared" si="36"/>
        <v>1</v>
      </c>
      <c r="M406" s="1" t="str">
        <f t="shared" si="37"/>
        <v>Delayed</v>
      </c>
      <c r="N406" s="1" t="str">
        <f t="shared" si="38"/>
        <v>Medium</v>
      </c>
      <c r="O406" s="1">
        <f t="shared" si="39"/>
        <v>1</v>
      </c>
      <c r="P406" s="1" t="str">
        <f t="shared" si="40"/>
        <v>Mid Loan</v>
      </c>
      <c r="Q406" s="1">
        <f t="shared" si="41"/>
        <v>0</v>
      </c>
    </row>
    <row r="407" spans="1:17" x14ac:dyDescent="0.3">
      <c r="A407" s="1" t="s">
        <v>435</v>
      </c>
      <c r="B407" s="1">
        <v>3</v>
      </c>
      <c r="C407" s="1" t="s">
        <v>12</v>
      </c>
      <c r="D407" s="1">
        <v>22356</v>
      </c>
      <c r="E407" s="1">
        <v>1000</v>
      </c>
      <c r="F407" s="2">
        <v>45932</v>
      </c>
      <c r="G407" s="2">
        <v>45932</v>
      </c>
      <c r="H407" s="1">
        <v>0</v>
      </c>
      <c r="I407" s="1" t="s">
        <v>17</v>
      </c>
      <c r="J407" s="1" t="s">
        <v>14</v>
      </c>
      <c r="K407" s="1" t="s">
        <v>34</v>
      </c>
      <c r="L407" s="1">
        <f t="shared" si="36"/>
        <v>0</v>
      </c>
      <c r="M407" s="1" t="str">
        <f t="shared" si="37"/>
        <v>On Time</v>
      </c>
      <c r="N407" s="1" t="str">
        <f t="shared" si="38"/>
        <v>Low</v>
      </c>
      <c r="O407" s="1">
        <f t="shared" si="39"/>
        <v>1</v>
      </c>
      <c r="P407" s="1" t="str">
        <f t="shared" si="40"/>
        <v>Low Loan</v>
      </c>
      <c r="Q407" s="1">
        <f t="shared" si="41"/>
        <v>1</v>
      </c>
    </row>
    <row r="408" spans="1:17" x14ac:dyDescent="0.3">
      <c r="A408" s="1" t="s">
        <v>436</v>
      </c>
      <c r="B408" s="1">
        <v>2</v>
      </c>
      <c r="C408" s="1" t="s">
        <v>12</v>
      </c>
      <c r="D408" s="1">
        <v>90326</v>
      </c>
      <c r="E408" s="1">
        <v>5000</v>
      </c>
      <c r="F408" s="2">
        <v>45952</v>
      </c>
      <c r="G408" s="2">
        <v>45952</v>
      </c>
      <c r="H408" s="1">
        <v>0</v>
      </c>
      <c r="I408" s="1" t="s">
        <v>28</v>
      </c>
      <c r="J408" s="1" t="s">
        <v>14</v>
      </c>
      <c r="K408" s="1" t="s">
        <v>44</v>
      </c>
      <c r="L408" s="1">
        <f t="shared" si="36"/>
        <v>0</v>
      </c>
      <c r="M408" s="1" t="str">
        <f t="shared" si="37"/>
        <v>On Time</v>
      </c>
      <c r="N408" s="1" t="str">
        <f t="shared" si="38"/>
        <v>Low</v>
      </c>
      <c r="O408" s="1">
        <f t="shared" si="39"/>
        <v>1</v>
      </c>
      <c r="P408" s="1" t="str">
        <f t="shared" si="40"/>
        <v>Very High Loan</v>
      </c>
      <c r="Q408" s="1">
        <f t="shared" si="41"/>
        <v>1</v>
      </c>
    </row>
    <row r="409" spans="1:17" x14ac:dyDescent="0.3">
      <c r="A409" s="1" t="s">
        <v>437</v>
      </c>
      <c r="B409" s="1">
        <v>1</v>
      </c>
      <c r="C409" s="1" t="s">
        <v>20</v>
      </c>
      <c r="D409" s="1">
        <v>40049</v>
      </c>
      <c r="E409" s="1">
        <v>1700</v>
      </c>
      <c r="F409" s="2">
        <v>45946</v>
      </c>
      <c r="G409" s="2">
        <v>45946</v>
      </c>
      <c r="H409" s="1">
        <v>0</v>
      </c>
      <c r="I409" s="1" t="s">
        <v>28</v>
      </c>
      <c r="J409" s="1" t="s">
        <v>14</v>
      </c>
      <c r="K409" s="1" t="s">
        <v>70</v>
      </c>
      <c r="L409" s="1">
        <f t="shared" si="36"/>
        <v>0</v>
      </c>
      <c r="M409" s="1" t="str">
        <f t="shared" si="37"/>
        <v>On Time</v>
      </c>
      <c r="N409" s="1" t="str">
        <f t="shared" si="38"/>
        <v>Low</v>
      </c>
      <c r="O409" s="1">
        <f t="shared" si="39"/>
        <v>1</v>
      </c>
      <c r="P409" s="1" t="str">
        <f t="shared" si="40"/>
        <v>Low Loan</v>
      </c>
      <c r="Q409" s="1">
        <f t="shared" si="41"/>
        <v>1</v>
      </c>
    </row>
    <row r="410" spans="1:17" x14ac:dyDescent="0.3">
      <c r="A410" s="1" t="s">
        <v>438</v>
      </c>
      <c r="B410" s="1">
        <v>3</v>
      </c>
      <c r="C410" s="1" t="s">
        <v>20</v>
      </c>
      <c r="D410" s="1">
        <v>95717</v>
      </c>
      <c r="E410" s="1">
        <v>9600</v>
      </c>
      <c r="F410" s="2">
        <v>45955</v>
      </c>
      <c r="G410" s="2">
        <v>45955</v>
      </c>
      <c r="H410" s="1">
        <v>0</v>
      </c>
      <c r="I410" s="1" t="s">
        <v>21</v>
      </c>
      <c r="J410" s="1" t="s">
        <v>22</v>
      </c>
      <c r="K410" s="1" t="s">
        <v>15</v>
      </c>
      <c r="L410" s="1">
        <f t="shared" si="36"/>
        <v>0</v>
      </c>
      <c r="M410" s="1" t="str">
        <f t="shared" si="37"/>
        <v>On Time</v>
      </c>
      <c r="N410" s="1" t="str">
        <f t="shared" si="38"/>
        <v>Low</v>
      </c>
      <c r="O410" s="1">
        <f t="shared" si="39"/>
        <v>0</v>
      </c>
      <c r="P410" s="1" t="str">
        <f t="shared" si="40"/>
        <v>Very High Loan</v>
      </c>
      <c r="Q410" s="1">
        <f t="shared" si="41"/>
        <v>1</v>
      </c>
    </row>
    <row r="411" spans="1:17" x14ac:dyDescent="0.3">
      <c r="A411" s="1" t="s">
        <v>439</v>
      </c>
      <c r="B411" s="1">
        <v>1</v>
      </c>
      <c r="C411" s="1" t="s">
        <v>20</v>
      </c>
      <c r="D411" s="1">
        <v>36082</v>
      </c>
      <c r="E411" s="1">
        <v>2000</v>
      </c>
      <c r="F411" s="2">
        <v>45932</v>
      </c>
      <c r="G411" s="2">
        <v>45932</v>
      </c>
      <c r="H411" s="1">
        <v>0</v>
      </c>
      <c r="I411" s="1" t="s">
        <v>21</v>
      </c>
      <c r="J411" s="1" t="s">
        <v>14</v>
      </c>
      <c r="K411" s="1" t="s">
        <v>18</v>
      </c>
      <c r="L411" s="1">
        <f t="shared" si="36"/>
        <v>0</v>
      </c>
      <c r="M411" s="1" t="str">
        <f t="shared" si="37"/>
        <v>On Time</v>
      </c>
      <c r="N411" s="1" t="str">
        <f t="shared" si="38"/>
        <v>Low</v>
      </c>
      <c r="O411" s="1">
        <f t="shared" si="39"/>
        <v>1</v>
      </c>
      <c r="P411" s="1" t="str">
        <f t="shared" si="40"/>
        <v>Low Loan</v>
      </c>
      <c r="Q411" s="1">
        <f t="shared" si="41"/>
        <v>1</v>
      </c>
    </row>
    <row r="412" spans="1:17" x14ac:dyDescent="0.3">
      <c r="A412" s="1" t="s">
        <v>440</v>
      </c>
      <c r="B412" s="1">
        <v>2</v>
      </c>
      <c r="C412" s="1" t="s">
        <v>12</v>
      </c>
      <c r="D412" s="1">
        <v>20661</v>
      </c>
      <c r="E412" s="1">
        <v>2300</v>
      </c>
      <c r="F412" s="2">
        <v>45940</v>
      </c>
      <c r="G412" s="2">
        <v>45985</v>
      </c>
      <c r="H412" s="1">
        <v>45</v>
      </c>
      <c r="I412" s="1" t="s">
        <v>17</v>
      </c>
      <c r="J412" s="1" t="s">
        <v>22</v>
      </c>
      <c r="K412" s="1" t="s">
        <v>44</v>
      </c>
      <c r="L412" s="1">
        <f t="shared" si="36"/>
        <v>1</v>
      </c>
      <c r="M412" s="1" t="str">
        <f t="shared" si="37"/>
        <v>Delayed</v>
      </c>
      <c r="N412" s="1" t="str">
        <f t="shared" si="38"/>
        <v>High</v>
      </c>
      <c r="O412" s="1">
        <f t="shared" si="39"/>
        <v>0</v>
      </c>
      <c r="P412" s="1" t="str">
        <f t="shared" si="40"/>
        <v>Low Loan</v>
      </c>
      <c r="Q412" s="1">
        <f t="shared" si="41"/>
        <v>0</v>
      </c>
    </row>
    <row r="413" spans="1:17" x14ac:dyDescent="0.3">
      <c r="A413" s="1" t="s">
        <v>441</v>
      </c>
      <c r="B413" s="1">
        <v>3</v>
      </c>
      <c r="C413" s="1" t="s">
        <v>20</v>
      </c>
      <c r="D413" s="1">
        <v>57412</v>
      </c>
      <c r="E413" s="1">
        <v>2600</v>
      </c>
      <c r="F413" s="2">
        <v>45932</v>
      </c>
      <c r="G413" s="2">
        <v>45932</v>
      </c>
      <c r="H413" s="1">
        <v>0</v>
      </c>
      <c r="I413" s="1" t="s">
        <v>13</v>
      </c>
      <c r="J413" s="1" t="s">
        <v>22</v>
      </c>
      <c r="K413" s="1" t="s">
        <v>44</v>
      </c>
      <c r="L413" s="1">
        <f t="shared" si="36"/>
        <v>0</v>
      </c>
      <c r="M413" s="1" t="str">
        <f t="shared" si="37"/>
        <v>On Time</v>
      </c>
      <c r="N413" s="1" t="str">
        <f t="shared" si="38"/>
        <v>Low</v>
      </c>
      <c r="O413" s="1">
        <f t="shared" si="39"/>
        <v>0</v>
      </c>
      <c r="P413" s="1" t="str">
        <f t="shared" si="40"/>
        <v>Mid Loan</v>
      </c>
      <c r="Q413" s="1">
        <f t="shared" si="41"/>
        <v>1</v>
      </c>
    </row>
    <row r="414" spans="1:17" x14ac:dyDescent="0.3">
      <c r="A414" s="1" t="s">
        <v>442</v>
      </c>
      <c r="B414" s="1">
        <v>3</v>
      </c>
      <c r="C414" s="1" t="s">
        <v>12</v>
      </c>
      <c r="D414" s="1">
        <v>22920</v>
      </c>
      <c r="E414" s="1">
        <v>2900</v>
      </c>
      <c r="F414" s="2">
        <v>45946</v>
      </c>
      <c r="G414" s="2">
        <v>45953</v>
      </c>
      <c r="H414" s="1">
        <v>7</v>
      </c>
      <c r="I414" s="1" t="s">
        <v>28</v>
      </c>
      <c r="J414" s="1" t="s">
        <v>22</v>
      </c>
      <c r="K414" s="1" t="s">
        <v>70</v>
      </c>
      <c r="L414" s="1">
        <f t="shared" si="36"/>
        <v>1</v>
      </c>
      <c r="M414" s="1" t="str">
        <f t="shared" si="37"/>
        <v>Delayed</v>
      </c>
      <c r="N414" s="1" t="str">
        <f t="shared" si="38"/>
        <v>Medium</v>
      </c>
      <c r="O414" s="1">
        <f t="shared" si="39"/>
        <v>0</v>
      </c>
      <c r="P414" s="1" t="str">
        <f t="shared" si="40"/>
        <v>Low Loan</v>
      </c>
      <c r="Q414" s="1">
        <f t="shared" si="41"/>
        <v>0</v>
      </c>
    </row>
    <row r="415" spans="1:17" x14ac:dyDescent="0.3">
      <c r="A415" s="1" t="s">
        <v>443</v>
      </c>
      <c r="B415" s="1">
        <v>2</v>
      </c>
      <c r="C415" s="1" t="s">
        <v>20</v>
      </c>
      <c r="D415" s="1">
        <v>80315</v>
      </c>
      <c r="E415" s="1">
        <v>3700</v>
      </c>
      <c r="F415" s="2">
        <v>45946</v>
      </c>
      <c r="G415" s="2">
        <v>45953</v>
      </c>
      <c r="H415" s="1">
        <v>7</v>
      </c>
      <c r="I415" s="1" t="s">
        <v>21</v>
      </c>
      <c r="J415" s="1" t="s">
        <v>22</v>
      </c>
      <c r="K415" s="1" t="s">
        <v>23</v>
      </c>
      <c r="L415" s="1">
        <f t="shared" si="36"/>
        <v>1</v>
      </c>
      <c r="M415" s="1" t="str">
        <f t="shared" si="37"/>
        <v>Delayed</v>
      </c>
      <c r="N415" s="1" t="str">
        <f t="shared" si="38"/>
        <v>Medium</v>
      </c>
      <c r="O415" s="1">
        <f t="shared" si="39"/>
        <v>0</v>
      </c>
      <c r="P415" s="1" t="str">
        <f t="shared" si="40"/>
        <v>High Loan</v>
      </c>
      <c r="Q415" s="1">
        <f t="shared" si="41"/>
        <v>0</v>
      </c>
    </row>
    <row r="416" spans="1:17" x14ac:dyDescent="0.3">
      <c r="A416" s="1" t="s">
        <v>444</v>
      </c>
      <c r="B416" s="1">
        <v>2</v>
      </c>
      <c r="C416" s="1" t="s">
        <v>12</v>
      </c>
      <c r="D416" s="1">
        <v>99561</v>
      </c>
      <c r="E416" s="1">
        <v>6200</v>
      </c>
      <c r="F416" s="2">
        <v>45949</v>
      </c>
      <c r="G416" s="2">
        <v>45979</v>
      </c>
      <c r="H416" s="1">
        <v>30</v>
      </c>
      <c r="I416" s="1" t="s">
        <v>17</v>
      </c>
      <c r="J416" s="1" t="s">
        <v>22</v>
      </c>
      <c r="K416" s="1" t="s">
        <v>70</v>
      </c>
      <c r="L416" s="1">
        <f t="shared" si="36"/>
        <v>1</v>
      </c>
      <c r="M416" s="1" t="str">
        <f t="shared" si="37"/>
        <v>Delayed</v>
      </c>
      <c r="N416" s="1" t="str">
        <f t="shared" si="38"/>
        <v>High</v>
      </c>
      <c r="O416" s="1">
        <f t="shared" si="39"/>
        <v>0</v>
      </c>
      <c r="P416" s="1" t="str">
        <f t="shared" si="40"/>
        <v>Very High Loan</v>
      </c>
      <c r="Q416" s="1">
        <f t="shared" si="41"/>
        <v>0</v>
      </c>
    </row>
    <row r="417" spans="1:17" x14ac:dyDescent="0.3">
      <c r="A417" s="1" t="s">
        <v>445</v>
      </c>
      <c r="B417" s="1">
        <v>2</v>
      </c>
      <c r="C417" s="1" t="s">
        <v>20</v>
      </c>
      <c r="D417" s="1">
        <v>28946</v>
      </c>
      <c r="E417" s="1">
        <v>3200</v>
      </c>
      <c r="F417" s="2">
        <v>45959</v>
      </c>
      <c r="G417" s="2">
        <v>45959</v>
      </c>
      <c r="H417" s="1">
        <v>0</v>
      </c>
      <c r="I417" s="1" t="s">
        <v>21</v>
      </c>
      <c r="J417" s="1" t="s">
        <v>14</v>
      </c>
      <c r="K417" s="1" t="s">
        <v>54</v>
      </c>
      <c r="L417" s="1">
        <f t="shared" si="36"/>
        <v>0</v>
      </c>
      <c r="M417" s="1" t="str">
        <f t="shared" si="37"/>
        <v>On Time</v>
      </c>
      <c r="N417" s="1" t="str">
        <f t="shared" si="38"/>
        <v>Low</v>
      </c>
      <c r="O417" s="1">
        <f t="shared" si="39"/>
        <v>1</v>
      </c>
      <c r="P417" s="1" t="str">
        <f t="shared" si="40"/>
        <v>Low Loan</v>
      </c>
      <c r="Q417" s="1">
        <f t="shared" si="41"/>
        <v>1</v>
      </c>
    </row>
    <row r="418" spans="1:17" x14ac:dyDescent="0.3">
      <c r="A418" s="1" t="s">
        <v>446</v>
      </c>
      <c r="B418" s="1">
        <v>2</v>
      </c>
      <c r="C418" s="1" t="s">
        <v>20</v>
      </c>
      <c r="D418" s="1">
        <v>65500</v>
      </c>
      <c r="E418" s="1">
        <v>9400</v>
      </c>
      <c r="F418" s="2">
        <v>45937</v>
      </c>
      <c r="G418" s="2">
        <v>45967</v>
      </c>
      <c r="H418" s="1">
        <v>30</v>
      </c>
      <c r="I418" s="1" t="s">
        <v>28</v>
      </c>
      <c r="J418" s="1" t="s">
        <v>22</v>
      </c>
      <c r="K418" s="1" t="s">
        <v>70</v>
      </c>
      <c r="L418" s="1">
        <f t="shared" si="36"/>
        <v>1</v>
      </c>
      <c r="M418" s="1" t="str">
        <f t="shared" si="37"/>
        <v>Delayed</v>
      </c>
      <c r="N418" s="1" t="str">
        <f t="shared" si="38"/>
        <v>High</v>
      </c>
      <c r="O418" s="1">
        <f t="shared" si="39"/>
        <v>0</v>
      </c>
      <c r="P418" s="1" t="str">
        <f t="shared" si="40"/>
        <v>High Loan</v>
      </c>
      <c r="Q418" s="1">
        <f t="shared" si="41"/>
        <v>0</v>
      </c>
    </row>
    <row r="419" spans="1:17" x14ac:dyDescent="0.3">
      <c r="A419" s="1" t="s">
        <v>447</v>
      </c>
      <c r="B419" s="1">
        <v>2</v>
      </c>
      <c r="C419" s="1" t="s">
        <v>30</v>
      </c>
      <c r="D419" s="1">
        <v>36309</v>
      </c>
      <c r="E419" s="1">
        <v>1700</v>
      </c>
      <c r="F419" s="2">
        <v>45952</v>
      </c>
      <c r="G419" s="2">
        <v>45952</v>
      </c>
      <c r="H419" s="1">
        <v>0</v>
      </c>
      <c r="I419" s="1" t="s">
        <v>21</v>
      </c>
      <c r="J419" s="1" t="s">
        <v>14</v>
      </c>
      <c r="K419" s="1" t="s">
        <v>56</v>
      </c>
      <c r="L419" s="1">
        <f t="shared" si="36"/>
        <v>0</v>
      </c>
      <c r="M419" s="1" t="str">
        <f t="shared" si="37"/>
        <v>On Time</v>
      </c>
      <c r="N419" s="1" t="str">
        <f t="shared" si="38"/>
        <v>Low</v>
      </c>
      <c r="O419" s="1">
        <f t="shared" si="39"/>
        <v>1</v>
      </c>
      <c r="P419" s="1" t="str">
        <f t="shared" si="40"/>
        <v>Low Loan</v>
      </c>
      <c r="Q419" s="1">
        <f t="shared" si="41"/>
        <v>1</v>
      </c>
    </row>
    <row r="420" spans="1:17" x14ac:dyDescent="0.3">
      <c r="A420" s="1" t="s">
        <v>448</v>
      </c>
      <c r="B420" s="1">
        <v>2</v>
      </c>
      <c r="C420" s="1" t="s">
        <v>12</v>
      </c>
      <c r="D420" s="1">
        <v>75230</v>
      </c>
      <c r="E420" s="1">
        <v>3300</v>
      </c>
      <c r="F420" s="2">
        <v>45942</v>
      </c>
      <c r="G420" s="2">
        <v>45945</v>
      </c>
      <c r="H420" s="1">
        <v>3</v>
      </c>
      <c r="I420" s="1" t="s">
        <v>28</v>
      </c>
      <c r="J420" s="1" t="s">
        <v>22</v>
      </c>
      <c r="K420" s="1" t="s">
        <v>18</v>
      </c>
      <c r="L420" s="1">
        <f t="shared" si="36"/>
        <v>1</v>
      </c>
      <c r="M420" s="1" t="str">
        <f t="shared" si="37"/>
        <v>Delayed</v>
      </c>
      <c r="N420" s="1" t="str">
        <f t="shared" si="38"/>
        <v>Medium</v>
      </c>
      <c r="O420" s="1">
        <f t="shared" si="39"/>
        <v>0</v>
      </c>
      <c r="P420" s="1" t="str">
        <f t="shared" si="40"/>
        <v>High Loan</v>
      </c>
      <c r="Q420" s="1">
        <f t="shared" si="41"/>
        <v>0</v>
      </c>
    </row>
    <row r="421" spans="1:17" x14ac:dyDescent="0.3">
      <c r="A421" s="1" t="s">
        <v>449</v>
      </c>
      <c r="B421" s="1">
        <v>3</v>
      </c>
      <c r="C421" s="1" t="s">
        <v>20</v>
      </c>
      <c r="D421" s="1">
        <v>50027</v>
      </c>
      <c r="E421" s="1">
        <v>3800</v>
      </c>
      <c r="F421" s="2">
        <v>45954</v>
      </c>
      <c r="G421" s="2">
        <v>45957</v>
      </c>
      <c r="H421" s="1">
        <v>3</v>
      </c>
      <c r="I421" s="1" t="s">
        <v>13</v>
      </c>
      <c r="J421" s="1" t="s">
        <v>22</v>
      </c>
      <c r="K421" s="1" t="s">
        <v>15</v>
      </c>
      <c r="L421" s="1">
        <f t="shared" si="36"/>
        <v>1</v>
      </c>
      <c r="M421" s="1" t="str">
        <f t="shared" si="37"/>
        <v>Delayed</v>
      </c>
      <c r="N421" s="1" t="str">
        <f t="shared" si="38"/>
        <v>Medium</v>
      </c>
      <c r="O421" s="1">
        <f t="shared" si="39"/>
        <v>0</v>
      </c>
      <c r="P421" s="1" t="str">
        <f t="shared" si="40"/>
        <v>Mid Loan</v>
      </c>
      <c r="Q421" s="1">
        <f t="shared" si="41"/>
        <v>0</v>
      </c>
    </row>
    <row r="422" spans="1:17" x14ac:dyDescent="0.3">
      <c r="A422" s="1" t="s">
        <v>450</v>
      </c>
      <c r="B422" s="1">
        <v>3</v>
      </c>
      <c r="C422" s="1" t="s">
        <v>12</v>
      </c>
      <c r="D422" s="1">
        <v>92541</v>
      </c>
      <c r="E422" s="1">
        <v>11600</v>
      </c>
      <c r="F422" s="2">
        <v>45945</v>
      </c>
      <c r="G422" s="2">
        <v>45960</v>
      </c>
      <c r="H422" s="1">
        <v>15</v>
      </c>
      <c r="I422" s="1" t="s">
        <v>28</v>
      </c>
      <c r="J422" s="1" t="s">
        <v>14</v>
      </c>
      <c r="K422" s="1" t="s">
        <v>34</v>
      </c>
      <c r="L422" s="1">
        <f t="shared" si="36"/>
        <v>1</v>
      </c>
      <c r="M422" s="1" t="str">
        <f t="shared" si="37"/>
        <v>Delayed</v>
      </c>
      <c r="N422" s="1" t="str">
        <f t="shared" si="38"/>
        <v>High</v>
      </c>
      <c r="O422" s="1">
        <f t="shared" si="39"/>
        <v>1</v>
      </c>
      <c r="P422" s="1" t="str">
        <f t="shared" si="40"/>
        <v>Very High Loan</v>
      </c>
      <c r="Q422" s="1">
        <f t="shared" si="41"/>
        <v>0</v>
      </c>
    </row>
    <row r="423" spans="1:17" x14ac:dyDescent="0.3">
      <c r="A423" s="1" t="s">
        <v>451</v>
      </c>
      <c r="B423" s="1">
        <v>3</v>
      </c>
      <c r="C423" s="1" t="s">
        <v>20</v>
      </c>
      <c r="D423" s="1">
        <v>79321</v>
      </c>
      <c r="E423" s="1">
        <v>5700</v>
      </c>
      <c r="F423" s="2">
        <v>45938</v>
      </c>
      <c r="G423" s="2">
        <v>45938</v>
      </c>
      <c r="H423" s="1">
        <v>0</v>
      </c>
      <c r="I423" s="1" t="s">
        <v>21</v>
      </c>
      <c r="J423" s="1" t="s">
        <v>14</v>
      </c>
      <c r="K423" s="1" t="s">
        <v>54</v>
      </c>
      <c r="L423" s="1">
        <f t="shared" si="36"/>
        <v>0</v>
      </c>
      <c r="M423" s="1" t="str">
        <f t="shared" si="37"/>
        <v>On Time</v>
      </c>
      <c r="N423" s="1" t="str">
        <f t="shared" si="38"/>
        <v>Low</v>
      </c>
      <c r="O423" s="1">
        <f t="shared" si="39"/>
        <v>1</v>
      </c>
      <c r="P423" s="1" t="str">
        <f t="shared" si="40"/>
        <v>High Loan</v>
      </c>
      <c r="Q423" s="1">
        <f t="shared" si="41"/>
        <v>1</v>
      </c>
    </row>
    <row r="424" spans="1:17" x14ac:dyDescent="0.3">
      <c r="A424" s="1" t="s">
        <v>452</v>
      </c>
      <c r="B424" s="1">
        <v>1</v>
      </c>
      <c r="C424" s="1" t="s">
        <v>12</v>
      </c>
      <c r="D424" s="1">
        <v>20956</v>
      </c>
      <c r="E424" s="1">
        <v>1900</v>
      </c>
      <c r="F424" s="2">
        <v>45936</v>
      </c>
      <c r="G424" s="2">
        <v>45943</v>
      </c>
      <c r="H424" s="1">
        <v>7</v>
      </c>
      <c r="I424" s="1" t="s">
        <v>21</v>
      </c>
      <c r="J424" s="1" t="s">
        <v>22</v>
      </c>
      <c r="K424" s="1" t="s">
        <v>32</v>
      </c>
      <c r="L424" s="1">
        <f t="shared" si="36"/>
        <v>1</v>
      </c>
      <c r="M424" s="1" t="str">
        <f t="shared" si="37"/>
        <v>Delayed</v>
      </c>
      <c r="N424" s="1" t="str">
        <f t="shared" si="38"/>
        <v>Medium</v>
      </c>
      <c r="O424" s="1">
        <f t="shared" si="39"/>
        <v>0</v>
      </c>
      <c r="P424" s="1" t="str">
        <f t="shared" si="40"/>
        <v>Low Loan</v>
      </c>
      <c r="Q424" s="1">
        <f t="shared" si="41"/>
        <v>0</v>
      </c>
    </row>
    <row r="425" spans="1:17" x14ac:dyDescent="0.3">
      <c r="A425" s="1" t="s">
        <v>453</v>
      </c>
      <c r="B425" s="1">
        <v>2</v>
      </c>
      <c r="C425" s="1" t="s">
        <v>12</v>
      </c>
      <c r="D425" s="1">
        <v>94131</v>
      </c>
      <c r="E425" s="1">
        <v>6300</v>
      </c>
      <c r="F425" s="2">
        <v>45958</v>
      </c>
      <c r="G425" s="2">
        <v>45958</v>
      </c>
      <c r="H425" s="1">
        <v>0</v>
      </c>
      <c r="I425" s="1" t="s">
        <v>13</v>
      </c>
      <c r="J425" s="1" t="s">
        <v>22</v>
      </c>
      <c r="K425" s="1" t="s">
        <v>54</v>
      </c>
      <c r="L425" s="1">
        <f t="shared" si="36"/>
        <v>0</v>
      </c>
      <c r="M425" s="1" t="str">
        <f t="shared" si="37"/>
        <v>On Time</v>
      </c>
      <c r="N425" s="1" t="str">
        <f t="shared" si="38"/>
        <v>Low</v>
      </c>
      <c r="O425" s="1">
        <f t="shared" si="39"/>
        <v>0</v>
      </c>
      <c r="P425" s="1" t="str">
        <f t="shared" si="40"/>
        <v>Very High Loan</v>
      </c>
      <c r="Q425" s="1">
        <f t="shared" si="41"/>
        <v>1</v>
      </c>
    </row>
    <row r="426" spans="1:17" x14ac:dyDescent="0.3">
      <c r="A426" s="1" t="s">
        <v>454</v>
      </c>
      <c r="B426" s="1">
        <v>1</v>
      </c>
      <c r="C426" s="1" t="s">
        <v>20</v>
      </c>
      <c r="D426" s="1">
        <v>67908</v>
      </c>
      <c r="E426" s="1">
        <v>4500</v>
      </c>
      <c r="F426" s="2">
        <v>45957</v>
      </c>
      <c r="G426" s="2">
        <v>45964</v>
      </c>
      <c r="H426" s="1">
        <v>7</v>
      </c>
      <c r="I426" s="1" t="s">
        <v>28</v>
      </c>
      <c r="J426" s="1" t="s">
        <v>22</v>
      </c>
      <c r="K426" s="1" t="s">
        <v>70</v>
      </c>
      <c r="L426" s="1">
        <f t="shared" si="36"/>
        <v>1</v>
      </c>
      <c r="M426" s="1" t="str">
        <f t="shared" si="37"/>
        <v>Delayed</v>
      </c>
      <c r="N426" s="1" t="str">
        <f t="shared" si="38"/>
        <v>Medium</v>
      </c>
      <c r="O426" s="1">
        <f t="shared" si="39"/>
        <v>0</v>
      </c>
      <c r="P426" s="1" t="str">
        <f t="shared" si="40"/>
        <v>High Loan</v>
      </c>
      <c r="Q426" s="1">
        <f t="shared" si="41"/>
        <v>0</v>
      </c>
    </row>
    <row r="427" spans="1:17" x14ac:dyDescent="0.3">
      <c r="A427" s="1" t="s">
        <v>455</v>
      </c>
      <c r="B427" s="1">
        <v>2</v>
      </c>
      <c r="C427" s="1" t="s">
        <v>20</v>
      </c>
      <c r="D427" s="1">
        <v>98339</v>
      </c>
      <c r="E427" s="1">
        <v>5500</v>
      </c>
      <c r="F427" s="2">
        <v>45940</v>
      </c>
      <c r="G427" s="2">
        <v>46000</v>
      </c>
      <c r="H427" s="1">
        <v>60</v>
      </c>
      <c r="I427" s="1" t="s">
        <v>28</v>
      </c>
      <c r="J427" s="1" t="s">
        <v>22</v>
      </c>
      <c r="K427" s="1" t="s">
        <v>26</v>
      </c>
      <c r="L427" s="1">
        <f t="shared" si="36"/>
        <v>1</v>
      </c>
      <c r="M427" s="1" t="str">
        <f t="shared" si="37"/>
        <v>Delayed</v>
      </c>
      <c r="N427" s="1" t="str">
        <f t="shared" si="38"/>
        <v>High</v>
      </c>
      <c r="O427" s="1">
        <f t="shared" si="39"/>
        <v>0</v>
      </c>
      <c r="P427" s="1" t="str">
        <f t="shared" si="40"/>
        <v>Very High Loan</v>
      </c>
      <c r="Q427" s="1">
        <f t="shared" si="41"/>
        <v>0</v>
      </c>
    </row>
    <row r="428" spans="1:17" x14ac:dyDescent="0.3">
      <c r="A428" s="1" t="s">
        <v>456</v>
      </c>
      <c r="B428" s="1">
        <v>2</v>
      </c>
      <c r="C428" s="1" t="s">
        <v>20</v>
      </c>
      <c r="D428" s="1">
        <v>45963</v>
      </c>
      <c r="E428" s="1">
        <v>2100</v>
      </c>
      <c r="F428" s="2">
        <v>45933</v>
      </c>
      <c r="G428" s="2">
        <v>45933</v>
      </c>
      <c r="H428" s="1">
        <v>0</v>
      </c>
      <c r="I428" s="1" t="s">
        <v>28</v>
      </c>
      <c r="J428" s="1" t="s">
        <v>14</v>
      </c>
      <c r="K428" s="1" t="s">
        <v>15</v>
      </c>
      <c r="L428" s="1">
        <f t="shared" si="36"/>
        <v>0</v>
      </c>
      <c r="M428" s="1" t="str">
        <f t="shared" si="37"/>
        <v>On Time</v>
      </c>
      <c r="N428" s="1" t="str">
        <f t="shared" si="38"/>
        <v>Low</v>
      </c>
      <c r="O428" s="1">
        <f t="shared" si="39"/>
        <v>1</v>
      </c>
      <c r="P428" s="1" t="str">
        <f t="shared" si="40"/>
        <v>Mid Loan</v>
      </c>
      <c r="Q428" s="1">
        <f t="shared" si="41"/>
        <v>1</v>
      </c>
    </row>
    <row r="429" spans="1:17" x14ac:dyDescent="0.3">
      <c r="A429" s="1" t="s">
        <v>457</v>
      </c>
      <c r="B429" s="1">
        <v>3</v>
      </c>
      <c r="C429" s="1" t="s">
        <v>12</v>
      </c>
      <c r="D429" s="1">
        <v>59443</v>
      </c>
      <c r="E429" s="1">
        <v>4200</v>
      </c>
      <c r="F429" s="2">
        <v>45949</v>
      </c>
      <c r="G429" s="2">
        <v>46009</v>
      </c>
      <c r="H429" s="1">
        <v>60</v>
      </c>
      <c r="I429" s="1" t="s">
        <v>28</v>
      </c>
      <c r="J429" s="1" t="s">
        <v>22</v>
      </c>
      <c r="K429" s="1" t="s">
        <v>32</v>
      </c>
      <c r="L429" s="1">
        <f t="shared" si="36"/>
        <v>1</v>
      </c>
      <c r="M429" s="1" t="str">
        <f t="shared" si="37"/>
        <v>Delayed</v>
      </c>
      <c r="N429" s="1" t="str">
        <f t="shared" si="38"/>
        <v>High</v>
      </c>
      <c r="O429" s="1">
        <f t="shared" si="39"/>
        <v>0</v>
      </c>
      <c r="P429" s="1" t="str">
        <f t="shared" si="40"/>
        <v>Mid Loan</v>
      </c>
      <c r="Q429" s="1">
        <f t="shared" si="41"/>
        <v>0</v>
      </c>
    </row>
    <row r="430" spans="1:17" x14ac:dyDescent="0.3">
      <c r="A430" s="1" t="s">
        <v>458</v>
      </c>
      <c r="B430" s="1">
        <v>2</v>
      </c>
      <c r="C430" s="1" t="s">
        <v>12</v>
      </c>
      <c r="D430" s="1">
        <v>59063</v>
      </c>
      <c r="E430" s="1">
        <v>2700</v>
      </c>
      <c r="F430" s="2">
        <v>45947</v>
      </c>
      <c r="G430" s="2">
        <v>45947</v>
      </c>
      <c r="H430" s="1">
        <v>0</v>
      </c>
      <c r="I430" s="1" t="s">
        <v>28</v>
      </c>
      <c r="J430" s="1" t="s">
        <v>22</v>
      </c>
      <c r="K430" s="1" t="s">
        <v>54</v>
      </c>
      <c r="L430" s="1">
        <f t="shared" si="36"/>
        <v>0</v>
      </c>
      <c r="M430" s="1" t="str">
        <f t="shared" si="37"/>
        <v>On Time</v>
      </c>
      <c r="N430" s="1" t="str">
        <f t="shared" si="38"/>
        <v>Low</v>
      </c>
      <c r="O430" s="1">
        <f t="shared" si="39"/>
        <v>0</v>
      </c>
      <c r="P430" s="1" t="str">
        <f t="shared" si="40"/>
        <v>Mid Loan</v>
      </c>
      <c r="Q430" s="1">
        <f t="shared" si="41"/>
        <v>1</v>
      </c>
    </row>
    <row r="431" spans="1:17" x14ac:dyDescent="0.3">
      <c r="A431" s="1" t="s">
        <v>459</v>
      </c>
      <c r="B431" s="1">
        <v>1</v>
      </c>
      <c r="C431" s="1" t="s">
        <v>20</v>
      </c>
      <c r="D431" s="1">
        <v>24703</v>
      </c>
      <c r="E431" s="1">
        <v>1800</v>
      </c>
      <c r="F431" s="2">
        <v>45937</v>
      </c>
      <c r="G431" s="2">
        <v>45937</v>
      </c>
      <c r="H431" s="1">
        <v>0</v>
      </c>
      <c r="I431" s="1" t="s">
        <v>17</v>
      </c>
      <c r="J431" s="1" t="s">
        <v>22</v>
      </c>
      <c r="K431" s="1" t="s">
        <v>26</v>
      </c>
      <c r="L431" s="1">
        <f t="shared" si="36"/>
        <v>0</v>
      </c>
      <c r="M431" s="1" t="str">
        <f t="shared" si="37"/>
        <v>On Time</v>
      </c>
      <c r="N431" s="1" t="str">
        <f t="shared" si="38"/>
        <v>Low</v>
      </c>
      <c r="O431" s="1">
        <f t="shared" si="39"/>
        <v>0</v>
      </c>
      <c r="P431" s="1" t="str">
        <f t="shared" si="40"/>
        <v>Low Loan</v>
      </c>
      <c r="Q431" s="1">
        <f t="shared" si="41"/>
        <v>1</v>
      </c>
    </row>
    <row r="432" spans="1:17" x14ac:dyDescent="0.3">
      <c r="A432" s="1" t="s">
        <v>460</v>
      </c>
      <c r="B432" s="1">
        <v>1</v>
      </c>
      <c r="C432" s="1" t="s">
        <v>20</v>
      </c>
      <c r="D432" s="1">
        <v>85128</v>
      </c>
      <c r="E432" s="1">
        <v>6100</v>
      </c>
      <c r="F432" s="2">
        <v>45951</v>
      </c>
      <c r="G432" s="2">
        <v>45951</v>
      </c>
      <c r="H432" s="1">
        <v>0</v>
      </c>
      <c r="I432" s="1" t="s">
        <v>28</v>
      </c>
      <c r="J432" s="1" t="s">
        <v>22</v>
      </c>
      <c r="K432" s="1" t="s">
        <v>34</v>
      </c>
      <c r="L432" s="1">
        <f t="shared" si="36"/>
        <v>0</v>
      </c>
      <c r="M432" s="1" t="str">
        <f t="shared" si="37"/>
        <v>On Time</v>
      </c>
      <c r="N432" s="1" t="str">
        <f t="shared" si="38"/>
        <v>Low</v>
      </c>
      <c r="O432" s="1">
        <f t="shared" si="39"/>
        <v>0</v>
      </c>
      <c r="P432" s="1" t="str">
        <f t="shared" si="40"/>
        <v>Very High Loan</v>
      </c>
      <c r="Q432" s="1">
        <f t="shared" si="41"/>
        <v>1</v>
      </c>
    </row>
    <row r="433" spans="1:17" x14ac:dyDescent="0.3">
      <c r="A433" s="1" t="s">
        <v>461</v>
      </c>
      <c r="B433" s="1">
        <v>3</v>
      </c>
      <c r="C433" s="1" t="s">
        <v>12</v>
      </c>
      <c r="D433" s="1">
        <v>92099</v>
      </c>
      <c r="E433" s="1">
        <v>15300</v>
      </c>
      <c r="F433" s="2">
        <v>45950</v>
      </c>
      <c r="G433" s="2">
        <v>45950</v>
      </c>
      <c r="H433" s="1">
        <v>0</v>
      </c>
      <c r="I433" s="1" t="s">
        <v>28</v>
      </c>
      <c r="J433" s="1" t="s">
        <v>22</v>
      </c>
      <c r="K433" s="1" t="s">
        <v>23</v>
      </c>
      <c r="L433" s="1">
        <f t="shared" si="36"/>
        <v>0</v>
      </c>
      <c r="M433" s="1" t="str">
        <f t="shared" si="37"/>
        <v>On Time</v>
      </c>
      <c r="N433" s="1" t="str">
        <f t="shared" si="38"/>
        <v>Low</v>
      </c>
      <c r="O433" s="1">
        <f t="shared" si="39"/>
        <v>0</v>
      </c>
      <c r="P433" s="1" t="str">
        <f t="shared" si="40"/>
        <v>Very High Loan</v>
      </c>
      <c r="Q433" s="1">
        <f t="shared" si="41"/>
        <v>1</v>
      </c>
    </row>
    <row r="434" spans="1:17" x14ac:dyDescent="0.3">
      <c r="A434" s="1" t="s">
        <v>462</v>
      </c>
      <c r="B434" s="1">
        <v>2</v>
      </c>
      <c r="C434" s="1" t="s">
        <v>30</v>
      </c>
      <c r="D434" s="1">
        <v>45849</v>
      </c>
      <c r="E434" s="1">
        <v>6500</v>
      </c>
      <c r="F434" s="2">
        <v>45956</v>
      </c>
      <c r="G434" s="2">
        <v>45959</v>
      </c>
      <c r="H434" s="1">
        <v>3</v>
      </c>
      <c r="I434" s="1" t="s">
        <v>17</v>
      </c>
      <c r="J434" s="1" t="s">
        <v>22</v>
      </c>
      <c r="K434" s="1" t="s">
        <v>34</v>
      </c>
      <c r="L434" s="1">
        <f t="shared" si="36"/>
        <v>1</v>
      </c>
      <c r="M434" s="1" t="str">
        <f t="shared" si="37"/>
        <v>Delayed</v>
      </c>
      <c r="N434" s="1" t="str">
        <f t="shared" si="38"/>
        <v>Medium</v>
      </c>
      <c r="O434" s="1">
        <f t="shared" si="39"/>
        <v>0</v>
      </c>
      <c r="P434" s="1" t="str">
        <f t="shared" si="40"/>
        <v>Mid Loan</v>
      </c>
      <c r="Q434" s="1">
        <f t="shared" si="41"/>
        <v>0</v>
      </c>
    </row>
    <row r="435" spans="1:17" x14ac:dyDescent="0.3">
      <c r="A435" s="1" t="s">
        <v>463</v>
      </c>
      <c r="B435" s="1">
        <v>1</v>
      </c>
      <c r="C435" s="1" t="s">
        <v>12</v>
      </c>
      <c r="D435" s="1">
        <v>51860</v>
      </c>
      <c r="E435" s="1">
        <v>2500</v>
      </c>
      <c r="F435" s="2">
        <v>45934</v>
      </c>
      <c r="G435" s="2">
        <v>45934</v>
      </c>
      <c r="H435" s="1">
        <v>0</v>
      </c>
      <c r="I435" s="1" t="s">
        <v>21</v>
      </c>
      <c r="J435" s="1" t="s">
        <v>22</v>
      </c>
      <c r="K435" s="1" t="s">
        <v>34</v>
      </c>
      <c r="L435" s="1">
        <f t="shared" si="36"/>
        <v>0</v>
      </c>
      <c r="M435" s="1" t="str">
        <f t="shared" si="37"/>
        <v>On Time</v>
      </c>
      <c r="N435" s="1" t="str">
        <f t="shared" si="38"/>
        <v>Low</v>
      </c>
      <c r="O435" s="1">
        <f t="shared" si="39"/>
        <v>0</v>
      </c>
      <c r="P435" s="1" t="str">
        <f t="shared" si="40"/>
        <v>Mid Loan</v>
      </c>
      <c r="Q435" s="1">
        <f t="shared" si="41"/>
        <v>1</v>
      </c>
    </row>
    <row r="436" spans="1:17" x14ac:dyDescent="0.3">
      <c r="A436" s="1" t="s">
        <v>464</v>
      </c>
      <c r="B436" s="1">
        <v>1</v>
      </c>
      <c r="C436" s="1" t="s">
        <v>20</v>
      </c>
      <c r="D436" s="1">
        <v>51585</v>
      </c>
      <c r="E436" s="1">
        <v>8600</v>
      </c>
      <c r="F436" s="2">
        <v>45944</v>
      </c>
      <c r="G436" s="2">
        <v>45944</v>
      </c>
      <c r="H436" s="1">
        <v>0</v>
      </c>
      <c r="I436" s="1" t="s">
        <v>21</v>
      </c>
      <c r="J436" s="1" t="s">
        <v>14</v>
      </c>
      <c r="K436" s="1" t="s">
        <v>70</v>
      </c>
      <c r="L436" s="1">
        <f t="shared" si="36"/>
        <v>0</v>
      </c>
      <c r="M436" s="1" t="str">
        <f t="shared" si="37"/>
        <v>On Time</v>
      </c>
      <c r="N436" s="1" t="str">
        <f t="shared" si="38"/>
        <v>Low</v>
      </c>
      <c r="O436" s="1">
        <f t="shared" si="39"/>
        <v>1</v>
      </c>
      <c r="P436" s="1" t="str">
        <f t="shared" si="40"/>
        <v>Mid Loan</v>
      </c>
      <c r="Q436" s="1">
        <f t="shared" si="41"/>
        <v>1</v>
      </c>
    </row>
    <row r="437" spans="1:17" x14ac:dyDescent="0.3">
      <c r="A437" s="1" t="s">
        <v>465</v>
      </c>
      <c r="B437" s="1">
        <v>3</v>
      </c>
      <c r="C437" s="1" t="s">
        <v>20</v>
      </c>
      <c r="D437" s="1">
        <v>42015</v>
      </c>
      <c r="E437" s="1">
        <v>2800</v>
      </c>
      <c r="F437" s="2">
        <v>45950</v>
      </c>
      <c r="G437" s="2">
        <v>45980</v>
      </c>
      <c r="H437" s="1">
        <v>30</v>
      </c>
      <c r="I437" s="1" t="s">
        <v>28</v>
      </c>
      <c r="J437" s="1" t="s">
        <v>22</v>
      </c>
      <c r="K437" s="1" t="s">
        <v>70</v>
      </c>
      <c r="L437" s="1">
        <f t="shared" si="36"/>
        <v>1</v>
      </c>
      <c r="M437" s="1" t="str">
        <f t="shared" si="37"/>
        <v>Delayed</v>
      </c>
      <c r="N437" s="1" t="str">
        <f t="shared" si="38"/>
        <v>High</v>
      </c>
      <c r="O437" s="1">
        <f t="shared" si="39"/>
        <v>0</v>
      </c>
      <c r="P437" s="1" t="str">
        <f t="shared" si="40"/>
        <v>Low Loan</v>
      </c>
      <c r="Q437" s="1">
        <f t="shared" si="41"/>
        <v>0</v>
      </c>
    </row>
    <row r="438" spans="1:17" x14ac:dyDescent="0.3">
      <c r="A438" s="1" t="s">
        <v>466</v>
      </c>
      <c r="B438" s="1">
        <v>1</v>
      </c>
      <c r="C438" s="1" t="s">
        <v>20</v>
      </c>
      <c r="D438" s="1">
        <v>97539</v>
      </c>
      <c r="E438" s="1">
        <v>4200</v>
      </c>
      <c r="F438" s="2">
        <v>45952</v>
      </c>
      <c r="G438" s="2">
        <v>45967</v>
      </c>
      <c r="H438" s="1">
        <v>15</v>
      </c>
      <c r="I438" s="1" t="s">
        <v>13</v>
      </c>
      <c r="J438" s="1" t="s">
        <v>22</v>
      </c>
      <c r="K438" s="1" t="s">
        <v>18</v>
      </c>
      <c r="L438" s="1">
        <f t="shared" si="36"/>
        <v>1</v>
      </c>
      <c r="M438" s="1" t="str">
        <f t="shared" si="37"/>
        <v>Delayed</v>
      </c>
      <c r="N438" s="1" t="str">
        <f t="shared" si="38"/>
        <v>High</v>
      </c>
      <c r="O438" s="1">
        <f t="shared" si="39"/>
        <v>0</v>
      </c>
      <c r="P438" s="1" t="str">
        <f t="shared" si="40"/>
        <v>Very High Loan</v>
      </c>
      <c r="Q438" s="1">
        <f t="shared" si="41"/>
        <v>0</v>
      </c>
    </row>
    <row r="439" spans="1:17" x14ac:dyDescent="0.3">
      <c r="A439" s="1" t="s">
        <v>467</v>
      </c>
      <c r="B439" s="1">
        <v>3</v>
      </c>
      <c r="C439" s="1" t="s">
        <v>30</v>
      </c>
      <c r="D439" s="1">
        <v>63585</v>
      </c>
      <c r="E439" s="1">
        <v>4900</v>
      </c>
      <c r="F439" s="2">
        <v>45945</v>
      </c>
      <c r="G439" s="2">
        <v>45960</v>
      </c>
      <c r="H439" s="1">
        <v>15</v>
      </c>
      <c r="I439" s="1" t="s">
        <v>28</v>
      </c>
      <c r="J439" s="1" t="s">
        <v>14</v>
      </c>
      <c r="K439" s="1" t="s">
        <v>70</v>
      </c>
      <c r="L439" s="1">
        <f t="shared" si="36"/>
        <v>1</v>
      </c>
      <c r="M439" s="1" t="str">
        <f t="shared" si="37"/>
        <v>Delayed</v>
      </c>
      <c r="N439" s="1" t="str">
        <f t="shared" si="38"/>
        <v>High</v>
      </c>
      <c r="O439" s="1">
        <f t="shared" si="39"/>
        <v>1</v>
      </c>
      <c r="P439" s="1" t="str">
        <f t="shared" si="40"/>
        <v>High Loan</v>
      </c>
      <c r="Q439" s="1">
        <f t="shared" si="41"/>
        <v>0</v>
      </c>
    </row>
    <row r="440" spans="1:17" x14ac:dyDescent="0.3">
      <c r="A440" s="1" t="s">
        <v>468</v>
      </c>
      <c r="B440" s="1">
        <v>3</v>
      </c>
      <c r="C440" s="1" t="s">
        <v>20</v>
      </c>
      <c r="D440" s="1">
        <v>46958</v>
      </c>
      <c r="E440" s="1">
        <v>2900</v>
      </c>
      <c r="F440" s="2">
        <v>45954</v>
      </c>
      <c r="G440" s="2">
        <v>45984</v>
      </c>
      <c r="H440" s="1">
        <v>30</v>
      </c>
      <c r="I440" s="1" t="s">
        <v>13</v>
      </c>
      <c r="J440" s="1" t="s">
        <v>22</v>
      </c>
      <c r="K440" s="1" t="s">
        <v>56</v>
      </c>
      <c r="L440" s="1">
        <f t="shared" si="36"/>
        <v>1</v>
      </c>
      <c r="M440" s="1" t="str">
        <f t="shared" si="37"/>
        <v>Delayed</v>
      </c>
      <c r="N440" s="1" t="str">
        <f t="shared" si="38"/>
        <v>High</v>
      </c>
      <c r="O440" s="1">
        <f t="shared" si="39"/>
        <v>0</v>
      </c>
      <c r="P440" s="1" t="str">
        <f t="shared" si="40"/>
        <v>Mid Loan</v>
      </c>
      <c r="Q440" s="1">
        <f t="shared" si="41"/>
        <v>0</v>
      </c>
    </row>
    <row r="441" spans="1:17" x14ac:dyDescent="0.3">
      <c r="A441" s="1" t="s">
        <v>469</v>
      </c>
      <c r="B441" s="1">
        <v>1</v>
      </c>
      <c r="C441" s="1" t="s">
        <v>12</v>
      </c>
      <c r="D441" s="1">
        <v>46017</v>
      </c>
      <c r="E441" s="1">
        <v>6600</v>
      </c>
      <c r="F441" s="2">
        <v>45938</v>
      </c>
      <c r="G441" s="2">
        <v>45945</v>
      </c>
      <c r="H441" s="1">
        <v>7</v>
      </c>
      <c r="I441" s="1" t="s">
        <v>17</v>
      </c>
      <c r="J441" s="1" t="s">
        <v>22</v>
      </c>
      <c r="K441" s="1" t="s">
        <v>34</v>
      </c>
      <c r="L441" s="1">
        <f t="shared" si="36"/>
        <v>1</v>
      </c>
      <c r="M441" s="1" t="str">
        <f t="shared" si="37"/>
        <v>Delayed</v>
      </c>
      <c r="N441" s="1" t="str">
        <f t="shared" si="38"/>
        <v>Medium</v>
      </c>
      <c r="O441" s="1">
        <f t="shared" si="39"/>
        <v>0</v>
      </c>
      <c r="P441" s="1" t="str">
        <f t="shared" si="40"/>
        <v>Mid Loan</v>
      </c>
      <c r="Q441" s="1">
        <f t="shared" si="41"/>
        <v>0</v>
      </c>
    </row>
    <row r="442" spans="1:17" x14ac:dyDescent="0.3">
      <c r="A442" s="1" t="s">
        <v>470</v>
      </c>
      <c r="B442" s="1">
        <v>1</v>
      </c>
      <c r="C442" s="1" t="s">
        <v>20</v>
      </c>
      <c r="D442" s="1">
        <v>96707</v>
      </c>
      <c r="E442" s="1">
        <v>7400</v>
      </c>
      <c r="F442" s="2">
        <v>45951</v>
      </c>
      <c r="G442" s="2">
        <v>45951</v>
      </c>
      <c r="H442" s="1">
        <v>0</v>
      </c>
      <c r="I442" s="1" t="s">
        <v>28</v>
      </c>
      <c r="J442" s="1" t="s">
        <v>22</v>
      </c>
      <c r="K442" s="1" t="s">
        <v>32</v>
      </c>
      <c r="L442" s="1">
        <f t="shared" si="36"/>
        <v>0</v>
      </c>
      <c r="M442" s="1" t="str">
        <f t="shared" si="37"/>
        <v>On Time</v>
      </c>
      <c r="N442" s="1" t="str">
        <f t="shared" si="38"/>
        <v>Low</v>
      </c>
      <c r="O442" s="1">
        <f t="shared" si="39"/>
        <v>0</v>
      </c>
      <c r="P442" s="1" t="str">
        <f t="shared" si="40"/>
        <v>Very High Loan</v>
      </c>
      <c r="Q442" s="1">
        <f t="shared" si="41"/>
        <v>1</v>
      </c>
    </row>
    <row r="443" spans="1:17" x14ac:dyDescent="0.3">
      <c r="A443" s="1" t="s">
        <v>471</v>
      </c>
      <c r="B443" s="1">
        <v>3</v>
      </c>
      <c r="C443" s="1" t="s">
        <v>12</v>
      </c>
      <c r="D443" s="1">
        <v>65350</v>
      </c>
      <c r="E443" s="1">
        <v>5000</v>
      </c>
      <c r="F443" s="2">
        <v>45945</v>
      </c>
      <c r="G443" s="2">
        <v>45945</v>
      </c>
      <c r="H443" s="1">
        <v>0</v>
      </c>
      <c r="I443" s="1" t="s">
        <v>13</v>
      </c>
      <c r="J443" s="1" t="s">
        <v>14</v>
      </c>
      <c r="K443" s="1" t="s">
        <v>56</v>
      </c>
      <c r="L443" s="1">
        <f t="shared" si="36"/>
        <v>0</v>
      </c>
      <c r="M443" s="1" t="str">
        <f t="shared" si="37"/>
        <v>On Time</v>
      </c>
      <c r="N443" s="1" t="str">
        <f t="shared" si="38"/>
        <v>Low</v>
      </c>
      <c r="O443" s="1">
        <f t="shared" si="39"/>
        <v>1</v>
      </c>
      <c r="P443" s="1" t="str">
        <f t="shared" si="40"/>
        <v>High Loan</v>
      </c>
      <c r="Q443" s="1">
        <f t="shared" si="41"/>
        <v>1</v>
      </c>
    </row>
    <row r="444" spans="1:17" x14ac:dyDescent="0.3">
      <c r="A444" s="1" t="s">
        <v>472</v>
      </c>
      <c r="B444" s="1">
        <v>2</v>
      </c>
      <c r="C444" s="1" t="s">
        <v>12</v>
      </c>
      <c r="D444" s="1">
        <v>32201</v>
      </c>
      <c r="E444" s="1">
        <v>1500</v>
      </c>
      <c r="F444" s="2">
        <v>45952</v>
      </c>
      <c r="G444" s="2">
        <v>45959</v>
      </c>
      <c r="H444" s="1">
        <v>7</v>
      </c>
      <c r="I444" s="1" t="s">
        <v>28</v>
      </c>
      <c r="J444" s="1" t="s">
        <v>22</v>
      </c>
      <c r="K444" s="1" t="s">
        <v>34</v>
      </c>
      <c r="L444" s="1">
        <f t="shared" si="36"/>
        <v>1</v>
      </c>
      <c r="M444" s="1" t="str">
        <f t="shared" si="37"/>
        <v>Delayed</v>
      </c>
      <c r="N444" s="1" t="str">
        <f t="shared" si="38"/>
        <v>Medium</v>
      </c>
      <c r="O444" s="1">
        <f t="shared" si="39"/>
        <v>0</v>
      </c>
      <c r="P444" s="1" t="str">
        <f t="shared" si="40"/>
        <v>Low Loan</v>
      </c>
      <c r="Q444" s="1">
        <f t="shared" si="41"/>
        <v>0</v>
      </c>
    </row>
    <row r="445" spans="1:17" x14ac:dyDescent="0.3">
      <c r="A445" s="1" t="s">
        <v>473</v>
      </c>
      <c r="B445" s="1">
        <v>2</v>
      </c>
      <c r="C445" s="1" t="s">
        <v>12</v>
      </c>
      <c r="D445" s="1">
        <v>49426</v>
      </c>
      <c r="E445" s="1">
        <v>2500</v>
      </c>
      <c r="F445" s="2">
        <v>45950</v>
      </c>
      <c r="G445" s="2">
        <v>45950</v>
      </c>
      <c r="H445" s="1">
        <v>0</v>
      </c>
      <c r="I445" s="1" t="s">
        <v>28</v>
      </c>
      <c r="J445" s="1" t="s">
        <v>14</v>
      </c>
      <c r="K445" s="1" t="s">
        <v>15</v>
      </c>
      <c r="L445" s="1">
        <f t="shared" si="36"/>
        <v>0</v>
      </c>
      <c r="M445" s="1" t="str">
        <f t="shared" si="37"/>
        <v>On Time</v>
      </c>
      <c r="N445" s="1" t="str">
        <f t="shared" si="38"/>
        <v>Low</v>
      </c>
      <c r="O445" s="1">
        <f t="shared" si="39"/>
        <v>1</v>
      </c>
      <c r="P445" s="1" t="str">
        <f t="shared" si="40"/>
        <v>Mid Loan</v>
      </c>
      <c r="Q445" s="1">
        <f t="shared" si="41"/>
        <v>1</v>
      </c>
    </row>
    <row r="446" spans="1:17" x14ac:dyDescent="0.3">
      <c r="A446" s="1" t="s">
        <v>474</v>
      </c>
      <c r="B446" s="1">
        <v>3</v>
      </c>
      <c r="C446" s="1" t="s">
        <v>20</v>
      </c>
      <c r="D446" s="1">
        <v>37778</v>
      </c>
      <c r="E446" s="1">
        <v>1700</v>
      </c>
      <c r="F446" s="2">
        <v>45958</v>
      </c>
      <c r="G446" s="2">
        <v>45961</v>
      </c>
      <c r="H446" s="1">
        <v>3</v>
      </c>
      <c r="I446" s="1" t="s">
        <v>17</v>
      </c>
      <c r="J446" s="1" t="s">
        <v>22</v>
      </c>
      <c r="K446" s="1" t="s">
        <v>26</v>
      </c>
      <c r="L446" s="1">
        <f t="shared" si="36"/>
        <v>1</v>
      </c>
      <c r="M446" s="1" t="str">
        <f t="shared" si="37"/>
        <v>Delayed</v>
      </c>
      <c r="N446" s="1" t="str">
        <f t="shared" si="38"/>
        <v>Medium</v>
      </c>
      <c r="O446" s="1">
        <f t="shared" si="39"/>
        <v>0</v>
      </c>
      <c r="P446" s="1" t="str">
        <f t="shared" si="40"/>
        <v>Low Loan</v>
      </c>
      <c r="Q446" s="1">
        <f t="shared" si="41"/>
        <v>0</v>
      </c>
    </row>
    <row r="447" spans="1:17" x14ac:dyDescent="0.3">
      <c r="A447" s="1" t="s">
        <v>475</v>
      </c>
      <c r="B447" s="1">
        <v>3</v>
      </c>
      <c r="C447" s="1" t="s">
        <v>20</v>
      </c>
      <c r="D447" s="1">
        <v>65241</v>
      </c>
      <c r="E447" s="1">
        <v>3600</v>
      </c>
      <c r="F447" s="2">
        <v>45944</v>
      </c>
      <c r="G447" s="2">
        <v>45944</v>
      </c>
      <c r="H447" s="1">
        <v>0</v>
      </c>
      <c r="I447" s="1" t="s">
        <v>17</v>
      </c>
      <c r="J447" s="1" t="s">
        <v>14</v>
      </c>
      <c r="K447" s="1" t="s">
        <v>34</v>
      </c>
      <c r="L447" s="1">
        <f t="shared" si="36"/>
        <v>0</v>
      </c>
      <c r="M447" s="1" t="str">
        <f t="shared" si="37"/>
        <v>On Time</v>
      </c>
      <c r="N447" s="1" t="str">
        <f t="shared" si="38"/>
        <v>Low</v>
      </c>
      <c r="O447" s="1">
        <f t="shared" si="39"/>
        <v>1</v>
      </c>
      <c r="P447" s="1" t="str">
        <f t="shared" si="40"/>
        <v>High Loan</v>
      </c>
      <c r="Q447" s="1">
        <f t="shared" si="41"/>
        <v>1</v>
      </c>
    </row>
    <row r="448" spans="1:17" x14ac:dyDescent="0.3">
      <c r="A448" s="1" t="s">
        <v>476</v>
      </c>
      <c r="B448" s="1">
        <v>3</v>
      </c>
      <c r="C448" s="1" t="s">
        <v>20</v>
      </c>
      <c r="D448" s="1">
        <v>62229</v>
      </c>
      <c r="E448" s="1">
        <v>6200</v>
      </c>
      <c r="F448" s="2">
        <v>45957</v>
      </c>
      <c r="G448" s="2">
        <v>45957</v>
      </c>
      <c r="H448" s="1">
        <v>0</v>
      </c>
      <c r="I448" s="1" t="s">
        <v>17</v>
      </c>
      <c r="J448" s="1" t="s">
        <v>22</v>
      </c>
      <c r="K448" s="1" t="s">
        <v>54</v>
      </c>
      <c r="L448" s="1">
        <f t="shared" si="36"/>
        <v>0</v>
      </c>
      <c r="M448" s="1" t="str">
        <f t="shared" si="37"/>
        <v>On Time</v>
      </c>
      <c r="N448" s="1" t="str">
        <f t="shared" si="38"/>
        <v>Low</v>
      </c>
      <c r="O448" s="1">
        <f t="shared" si="39"/>
        <v>0</v>
      </c>
      <c r="P448" s="1" t="str">
        <f t="shared" si="40"/>
        <v>High Loan</v>
      </c>
      <c r="Q448" s="1">
        <f t="shared" si="41"/>
        <v>1</v>
      </c>
    </row>
    <row r="449" spans="1:17" x14ac:dyDescent="0.3">
      <c r="A449" s="1" t="s">
        <v>477</v>
      </c>
      <c r="B449" s="1">
        <v>3</v>
      </c>
      <c r="C449" s="1" t="s">
        <v>30</v>
      </c>
      <c r="D449" s="1">
        <v>68364</v>
      </c>
      <c r="E449" s="1">
        <v>4000</v>
      </c>
      <c r="F449" s="2">
        <v>45959</v>
      </c>
      <c r="G449" s="2">
        <v>45959</v>
      </c>
      <c r="H449" s="1">
        <v>0</v>
      </c>
      <c r="I449" s="1" t="s">
        <v>28</v>
      </c>
      <c r="J449" s="1" t="s">
        <v>22</v>
      </c>
      <c r="K449" s="1" t="s">
        <v>56</v>
      </c>
      <c r="L449" s="1">
        <f t="shared" si="36"/>
        <v>0</v>
      </c>
      <c r="M449" s="1" t="str">
        <f t="shared" si="37"/>
        <v>On Time</v>
      </c>
      <c r="N449" s="1" t="str">
        <f t="shared" si="38"/>
        <v>Low</v>
      </c>
      <c r="O449" s="1">
        <f t="shared" si="39"/>
        <v>0</v>
      </c>
      <c r="P449" s="1" t="str">
        <f t="shared" si="40"/>
        <v>High Loan</v>
      </c>
      <c r="Q449" s="1">
        <f t="shared" si="41"/>
        <v>1</v>
      </c>
    </row>
    <row r="450" spans="1:17" x14ac:dyDescent="0.3">
      <c r="A450" s="1" t="s">
        <v>478</v>
      </c>
      <c r="B450" s="1">
        <v>2</v>
      </c>
      <c r="C450" s="1" t="s">
        <v>12</v>
      </c>
      <c r="D450" s="1">
        <v>77056</v>
      </c>
      <c r="E450" s="1">
        <v>12800</v>
      </c>
      <c r="F450" s="2">
        <v>45939</v>
      </c>
      <c r="G450" s="2">
        <v>45942</v>
      </c>
      <c r="H450" s="1">
        <v>3</v>
      </c>
      <c r="I450" s="1" t="s">
        <v>21</v>
      </c>
      <c r="J450" s="1" t="s">
        <v>22</v>
      </c>
      <c r="K450" s="1" t="s">
        <v>15</v>
      </c>
      <c r="L450" s="1">
        <f t="shared" si="36"/>
        <v>1</v>
      </c>
      <c r="M450" s="1" t="str">
        <f t="shared" si="37"/>
        <v>Delayed</v>
      </c>
      <c r="N450" s="1" t="str">
        <f t="shared" si="38"/>
        <v>Medium</v>
      </c>
      <c r="O450" s="1">
        <f t="shared" si="39"/>
        <v>0</v>
      </c>
      <c r="P450" s="1" t="str">
        <f t="shared" si="40"/>
        <v>High Loan</v>
      </c>
      <c r="Q450" s="1">
        <f t="shared" si="41"/>
        <v>0</v>
      </c>
    </row>
    <row r="451" spans="1:17" x14ac:dyDescent="0.3">
      <c r="A451" s="1" t="s">
        <v>479</v>
      </c>
      <c r="B451" s="1">
        <v>1</v>
      </c>
      <c r="C451" s="1" t="s">
        <v>12</v>
      </c>
      <c r="D451" s="1">
        <v>47490</v>
      </c>
      <c r="E451" s="1">
        <v>4700</v>
      </c>
      <c r="F451" s="2">
        <v>45938</v>
      </c>
      <c r="G451" s="2">
        <v>45941</v>
      </c>
      <c r="H451" s="1">
        <v>3</v>
      </c>
      <c r="I451" s="1" t="s">
        <v>17</v>
      </c>
      <c r="J451" s="1" t="s">
        <v>22</v>
      </c>
      <c r="K451" s="1" t="s">
        <v>34</v>
      </c>
      <c r="L451" s="1">
        <f t="shared" ref="L451:L501" si="42">IF(H451&gt;0,1,0)</f>
        <v>1</v>
      </c>
      <c r="M451" s="1" t="str">
        <f t="shared" ref="M451:M501" si="43">IF(H451=0,"On Time","Delayed")</f>
        <v>Delayed</v>
      </c>
      <c r="N451" s="1" t="str">
        <f t="shared" ref="N451:N501" si="44">_xlfn.IFS(H451=0,"Low",H451&lt;=14,"Medium",H451&gt;14,"High")</f>
        <v>Medium</v>
      </c>
      <c r="O451" s="1">
        <f t="shared" ref="O451:O501" si="45">IF(J451="Yes",1,0)</f>
        <v>0</v>
      </c>
      <c r="P451" s="1" t="str">
        <f t="shared" ref="P451:P501" si="46">_xlfn.IFS(
 D451&lt;=$V$16,"Low Loan",
 D451&lt;=$V$17,"Mid Loan",
 D451&lt;=$V$18,"High Loan",
 TRUE,"Very High Loan"
)</f>
        <v>Mid Loan</v>
      </c>
      <c r="Q451" s="1">
        <f t="shared" ref="Q451:Q501" si="47">IF(H451=0,1,0)</f>
        <v>0</v>
      </c>
    </row>
    <row r="452" spans="1:17" x14ac:dyDescent="0.3">
      <c r="A452" s="1" t="s">
        <v>480</v>
      </c>
      <c r="B452" s="1">
        <v>3</v>
      </c>
      <c r="C452" s="1" t="s">
        <v>12</v>
      </c>
      <c r="D452" s="1">
        <v>39975</v>
      </c>
      <c r="E452" s="1">
        <v>3100</v>
      </c>
      <c r="F452" s="2">
        <v>45956</v>
      </c>
      <c r="G452" s="2">
        <v>45959</v>
      </c>
      <c r="H452" s="1">
        <v>3</v>
      </c>
      <c r="I452" s="1" t="s">
        <v>28</v>
      </c>
      <c r="J452" s="1" t="s">
        <v>22</v>
      </c>
      <c r="K452" s="1" t="s">
        <v>32</v>
      </c>
      <c r="L452" s="1">
        <f t="shared" si="42"/>
        <v>1</v>
      </c>
      <c r="M452" s="1" t="str">
        <f t="shared" si="43"/>
        <v>Delayed</v>
      </c>
      <c r="N452" s="1" t="str">
        <f t="shared" si="44"/>
        <v>Medium</v>
      </c>
      <c r="O452" s="1">
        <f t="shared" si="45"/>
        <v>0</v>
      </c>
      <c r="P452" s="1" t="str">
        <f t="shared" si="46"/>
        <v>Low Loan</v>
      </c>
      <c r="Q452" s="1">
        <f t="shared" si="47"/>
        <v>0</v>
      </c>
    </row>
    <row r="453" spans="1:17" x14ac:dyDescent="0.3">
      <c r="A453" s="1" t="s">
        <v>481</v>
      </c>
      <c r="B453" s="1">
        <v>2</v>
      </c>
      <c r="C453" s="1" t="s">
        <v>12</v>
      </c>
      <c r="D453" s="1">
        <v>46723</v>
      </c>
      <c r="E453" s="1">
        <v>2600</v>
      </c>
      <c r="F453" s="2">
        <v>45958</v>
      </c>
      <c r="G453" s="2">
        <v>45958</v>
      </c>
      <c r="H453" s="1">
        <v>0</v>
      </c>
      <c r="I453" s="1" t="s">
        <v>28</v>
      </c>
      <c r="J453" s="1" t="s">
        <v>22</v>
      </c>
      <c r="K453" s="1" t="s">
        <v>34</v>
      </c>
      <c r="L453" s="1">
        <f t="shared" si="42"/>
        <v>0</v>
      </c>
      <c r="M453" s="1" t="str">
        <f t="shared" si="43"/>
        <v>On Time</v>
      </c>
      <c r="N453" s="1" t="str">
        <f t="shared" si="44"/>
        <v>Low</v>
      </c>
      <c r="O453" s="1">
        <f t="shared" si="45"/>
        <v>0</v>
      </c>
      <c r="P453" s="1" t="str">
        <f t="shared" si="46"/>
        <v>Mid Loan</v>
      </c>
      <c r="Q453" s="1">
        <f t="shared" si="47"/>
        <v>1</v>
      </c>
    </row>
    <row r="454" spans="1:17" x14ac:dyDescent="0.3">
      <c r="A454" s="1" t="s">
        <v>482</v>
      </c>
      <c r="B454" s="1">
        <v>2</v>
      </c>
      <c r="C454" s="1" t="s">
        <v>20</v>
      </c>
      <c r="D454" s="1">
        <v>43279</v>
      </c>
      <c r="E454" s="1">
        <v>3300</v>
      </c>
      <c r="F454" s="2">
        <v>45956</v>
      </c>
      <c r="G454" s="2">
        <v>45956</v>
      </c>
      <c r="H454" s="1">
        <v>0</v>
      </c>
      <c r="I454" s="1" t="s">
        <v>28</v>
      </c>
      <c r="J454" s="1" t="s">
        <v>14</v>
      </c>
      <c r="K454" s="1" t="s">
        <v>18</v>
      </c>
      <c r="L454" s="1">
        <f t="shared" si="42"/>
        <v>0</v>
      </c>
      <c r="M454" s="1" t="str">
        <f t="shared" si="43"/>
        <v>On Time</v>
      </c>
      <c r="N454" s="1" t="str">
        <f t="shared" si="44"/>
        <v>Low</v>
      </c>
      <c r="O454" s="1">
        <f t="shared" si="45"/>
        <v>1</v>
      </c>
      <c r="P454" s="1" t="str">
        <f t="shared" si="46"/>
        <v>Mid Loan</v>
      </c>
      <c r="Q454" s="1">
        <f t="shared" si="47"/>
        <v>1</v>
      </c>
    </row>
    <row r="455" spans="1:17" x14ac:dyDescent="0.3">
      <c r="A455" s="1" t="s">
        <v>483</v>
      </c>
      <c r="B455" s="1">
        <v>3</v>
      </c>
      <c r="C455" s="1" t="s">
        <v>30</v>
      </c>
      <c r="D455" s="1">
        <v>98301</v>
      </c>
      <c r="E455" s="1">
        <v>6100</v>
      </c>
      <c r="F455" s="2">
        <v>45947</v>
      </c>
      <c r="G455" s="2">
        <v>45962</v>
      </c>
      <c r="H455" s="1">
        <v>15</v>
      </c>
      <c r="I455" s="1" t="s">
        <v>28</v>
      </c>
      <c r="J455" s="1" t="s">
        <v>22</v>
      </c>
      <c r="K455" s="1" t="s">
        <v>34</v>
      </c>
      <c r="L455" s="1">
        <f t="shared" si="42"/>
        <v>1</v>
      </c>
      <c r="M455" s="1" t="str">
        <f t="shared" si="43"/>
        <v>Delayed</v>
      </c>
      <c r="N455" s="1" t="str">
        <f t="shared" si="44"/>
        <v>High</v>
      </c>
      <c r="O455" s="1">
        <f t="shared" si="45"/>
        <v>0</v>
      </c>
      <c r="P455" s="1" t="str">
        <f t="shared" si="46"/>
        <v>Very High Loan</v>
      </c>
      <c r="Q455" s="1">
        <f t="shared" si="47"/>
        <v>0</v>
      </c>
    </row>
    <row r="456" spans="1:17" x14ac:dyDescent="0.3">
      <c r="A456" s="1" t="s">
        <v>484</v>
      </c>
      <c r="B456" s="1">
        <v>1</v>
      </c>
      <c r="C456" s="1" t="s">
        <v>20</v>
      </c>
      <c r="D456" s="1">
        <v>31561</v>
      </c>
      <c r="E456" s="1">
        <v>5300</v>
      </c>
      <c r="F456" s="2">
        <v>45932</v>
      </c>
      <c r="G456" s="2">
        <v>45935</v>
      </c>
      <c r="H456" s="1">
        <v>3</v>
      </c>
      <c r="I456" s="1" t="s">
        <v>13</v>
      </c>
      <c r="J456" s="1" t="s">
        <v>14</v>
      </c>
      <c r="K456" s="1" t="s">
        <v>34</v>
      </c>
      <c r="L456" s="1">
        <f t="shared" si="42"/>
        <v>1</v>
      </c>
      <c r="M456" s="1" t="str">
        <f t="shared" si="43"/>
        <v>Delayed</v>
      </c>
      <c r="N456" s="1" t="str">
        <f t="shared" si="44"/>
        <v>Medium</v>
      </c>
      <c r="O456" s="1">
        <f t="shared" si="45"/>
        <v>1</v>
      </c>
      <c r="P456" s="1" t="str">
        <f t="shared" si="46"/>
        <v>Low Loan</v>
      </c>
      <c r="Q456" s="1">
        <f t="shared" si="47"/>
        <v>0</v>
      </c>
    </row>
    <row r="457" spans="1:17" x14ac:dyDescent="0.3">
      <c r="A457" s="1" t="s">
        <v>485</v>
      </c>
      <c r="B457" s="1">
        <v>2</v>
      </c>
      <c r="C457" s="1" t="s">
        <v>20</v>
      </c>
      <c r="D457" s="1">
        <v>86061</v>
      </c>
      <c r="E457" s="1">
        <v>4800</v>
      </c>
      <c r="F457" s="2">
        <v>45955</v>
      </c>
      <c r="G457" s="2">
        <v>45955</v>
      </c>
      <c r="H457" s="1">
        <v>0</v>
      </c>
      <c r="I457" s="1" t="s">
        <v>21</v>
      </c>
      <c r="J457" s="1" t="s">
        <v>22</v>
      </c>
      <c r="K457" s="1" t="s">
        <v>32</v>
      </c>
      <c r="L457" s="1">
        <f t="shared" si="42"/>
        <v>0</v>
      </c>
      <c r="M457" s="1" t="str">
        <f t="shared" si="43"/>
        <v>On Time</v>
      </c>
      <c r="N457" s="1" t="str">
        <f t="shared" si="44"/>
        <v>Low</v>
      </c>
      <c r="O457" s="1">
        <f t="shared" si="45"/>
        <v>0</v>
      </c>
      <c r="P457" s="1" t="str">
        <f t="shared" si="46"/>
        <v>Very High Loan</v>
      </c>
      <c r="Q457" s="1">
        <f t="shared" si="47"/>
        <v>1</v>
      </c>
    </row>
    <row r="458" spans="1:17" x14ac:dyDescent="0.3">
      <c r="A458" s="1" t="s">
        <v>486</v>
      </c>
      <c r="B458" s="1">
        <v>1</v>
      </c>
      <c r="C458" s="1" t="s">
        <v>12</v>
      </c>
      <c r="D458" s="1">
        <v>69153</v>
      </c>
      <c r="E458" s="1">
        <v>8600</v>
      </c>
      <c r="F458" s="2">
        <v>45954</v>
      </c>
      <c r="G458" s="2">
        <v>45969</v>
      </c>
      <c r="H458" s="1">
        <v>15</v>
      </c>
      <c r="I458" s="1" t="s">
        <v>13</v>
      </c>
      <c r="J458" s="1" t="s">
        <v>14</v>
      </c>
      <c r="K458" s="1" t="s">
        <v>70</v>
      </c>
      <c r="L458" s="1">
        <f t="shared" si="42"/>
        <v>1</v>
      </c>
      <c r="M458" s="1" t="str">
        <f t="shared" si="43"/>
        <v>Delayed</v>
      </c>
      <c r="N458" s="1" t="str">
        <f t="shared" si="44"/>
        <v>High</v>
      </c>
      <c r="O458" s="1">
        <f t="shared" si="45"/>
        <v>1</v>
      </c>
      <c r="P458" s="1" t="str">
        <f t="shared" si="46"/>
        <v>High Loan</v>
      </c>
      <c r="Q458" s="1">
        <f t="shared" si="47"/>
        <v>0</v>
      </c>
    </row>
    <row r="459" spans="1:17" x14ac:dyDescent="0.3">
      <c r="A459" s="1" t="s">
        <v>487</v>
      </c>
      <c r="B459" s="1">
        <v>2</v>
      </c>
      <c r="C459" s="1" t="s">
        <v>20</v>
      </c>
      <c r="D459" s="1">
        <v>53142</v>
      </c>
      <c r="E459" s="1">
        <v>2400</v>
      </c>
      <c r="F459" s="2">
        <v>45960</v>
      </c>
      <c r="G459" s="2">
        <v>45960</v>
      </c>
      <c r="H459" s="1">
        <v>0</v>
      </c>
      <c r="I459" s="1" t="s">
        <v>21</v>
      </c>
      <c r="J459" s="1" t="s">
        <v>22</v>
      </c>
      <c r="K459" s="1" t="s">
        <v>34</v>
      </c>
      <c r="L459" s="1">
        <f t="shared" si="42"/>
        <v>0</v>
      </c>
      <c r="M459" s="1" t="str">
        <f t="shared" si="43"/>
        <v>On Time</v>
      </c>
      <c r="N459" s="1" t="str">
        <f t="shared" si="44"/>
        <v>Low</v>
      </c>
      <c r="O459" s="1">
        <f t="shared" si="45"/>
        <v>0</v>
      </c>
      <c r="P459" s="1" t="str">
        <f t="shared" si="46"/>
        <v>Mid Loan</v>
      </c>
      <c r="Q459" s="1">
        <f t="shared" si="47"/>
        <v>1</v>
      </c>
    </row>
    <row r="460" spans="1:17" x14ac:dyDescent="0.3">
      <c r="A460" s="1" t="s">
        <v>488</v>
      </c>
      <c r="B460" s="1">
        <v>1</v>
      </c>
      <c r="C460" s="1" t="s">
        <v>20</v>
      </c>
      <c r="D460" s="1">
        <v>46916</v>
      </c>
      <c r="E460" s="1">
        <v>4700</v>
      </c>
      <c r="F460" s="2">
        <v>45933</v>
      </c>
      <c r="G460" s="2">
        <v>45933</v>
      </c>
      <c r="H460" s="1">
        <v>0</v>
      </c>
      <c r="I460" s="1" t="s">
        <v>17</v>
      </c>
      <c r="J460" s="1" t="s">
        <v>22</v>
      </c>
      <c r="K460" s="1" t="s">
        <v>32</v>
      </c>
      <c r="L460" s="1">
        <f t="shared" si="42"/>
        <v>0</v>
      </c>
      <c r="M460" s="1" t="str">
        <f t="shared" si="43"/>
        <v>On Time</v>
      </c>
      <c r="N460" s="1" t="str">
        <f t="shared" si="44"/>
        <v>Low</v>
      </c>
      <c r="O460" s="1">
        <f t="shared" si="45"/>
        <v>0</v>
      </c>
      <c r="P460" s="1" t="str">
        <f t="shared" si="46"/>
        <v>Mid Loan</v>
      </c>
      <c r="Q460" s="1">
        <f t="shared" si="47"/>
        <v>1</v>
      </c>
    </row>
    <row r="461" spans="1:17" x14ac:dyDescent="0.3">
      <c r="A461" s="1" t="s">
        <v>489</v>
      </c>
      <c r="B461" s="1">
        <v>1</v>
      </c>
      <c r="C461" s="1" t="s">
        <v>12</v>
      </c>
      <c r="D461" s="1">
        <v>84324</v>
      </c>
      <c r="E461" s="1">
        <v>6500</v>
      </c>
      <c r="F461" s="2">
        <v>45938</v>
      </c>
      <c r="G461" s="2">
        <v>45938</v>
      </c>
      <c r="H461" s="1">
        <v>0</v>
      </c>
      <c r="I461" s="1" t="s">
        <v>28</v>
      </c>
      <c r="J461" s="1" t="s">
        <v>22</v>
      </c>
      <c r="K461" s="1" t="s">
        <v>54</v>
      </c>
      <c r="L461" s="1">
        <f t="shared" si="42"/>
        <v>0</v>
      </c>
      <c r="M461" s="1" t="str">
        <f t="shared" si="43"/>
        <v>On Time</v>
      </c>
      <c r="N461" s="1" t="str">
        <f t="shared" si="44"/>
        <v>Low</v>
      </c>
      <c r="O461" s="1">
        <f t="shared" si="45"/>
        <v>0</v>
      </c>
      <c r="P461" s="1" t="str">
        <f t="shared" si="46"/>
        <v>Very High Loan</v>
      </c>
      <c r="Q461" s="1">
        <f t="shared" si="47"/>
        <v>1</v>
      </c>
    </row>
    <row r="462" spans="1:17" x14ac:dyDescent="0.3">
      <c r="A462" s="1" t="s">
        <v>490</v>
      </c>
      <c r="B462" s="1">
        <v>1</v>
      </c>
      <c r="C462" s="1" t="s">
        <v>20</v>
      </c>
      <c r="D462" s="1">
        <v>64965</v>
      </c>
      <c r="E462" s="1">
        <v>3400</v>
      </c>
      <c r="F462" s="2">
        <v>45942</v>
      </c>
      <c r="G462" s="2">
        <v>45949</v>
      </c>
      <c r="H462" s="1">
        <v>7</v>
      </c>
      <c r="I462" s="1" t="s">
        <v>21</v>
      </c>
      <c r="J462" s="1" t="s">
        <v>14</v>
      </c>
      <c r="K462" s="1" t="s">
        <v>56</v>
      </c>
      <c r="L462" s="1">
        <f t="shared" si="42"/>
        <v>1</v>
      </c>
      <c r="M462" s="1" t="str">
        <f t="shared" si="43"/>
        <v>Delayed</v>
      </c>
      <c r="N462" s="1" t="str">
        <f t="shared" si="44"/>
        <v>Medium</v>
      </c>
      <c r="O462" s="1">
        <f t="shared" si="45"/>
        <v>1</v>
      </c>
      <c r="P462" s="1" t="str">
        <f t="shared" si="46"/>
        <v>High Loan</v>
      </c>
      <c r="Q462" s="1">
        <f t="shared" si="47"/>
        <v>0</v>
      </c>
    </row>
    <row r="463" spans="1:17" x14ac:dyDescent="0.3">
      <c r="A463" s="1" t="s">
        <v>491</v>
      </c>
      <c r="B463" s="1">
        <v>2</v>
      </c>
      <c r="C463" s="1" t="s">
        <v>12</v>
      </c>
      <c r="D463" s="1">
        <v>24648</v>
      </c>
      <c r="E463" s="1">
        <v>2700</v>
      </c>
      <c r="F463" s="2">
        <v>45931</v>
      </c>
      <c r="G463" s="2">
        <v>45934</v>
      </c>
      <c r="H463" s="1">
        <v>3</v>
      </c>
      <c r="I463" s="1" t="s">
        <v>28</v>
      </c>
      <c r="J463" s="1" t="s">
        <v>22</v>
      </c>
      <c r="K463" s="1" t="s">
        <v>44</v>
      </c>
      <c r="L463" s="1">
        <f t="shared" si="42"/>
        <v>1</v>
      </c>
      <c r="M463" s="1" t="str">
        <f t="shared" si="43"/>
        <v>Delayed</v>
      </c>
      <c r="N463" s="1" t="str">
        <f t="shared" si="44"/>
        <v>Medium</v>
      </c>
      <c r="O463" s="1">
        <f t="shared" si="45"/>
        <v>0</v>
      </c>
      <c r="P463" s="1" t="str">
        <f t="shared" si="46"/>
        <v>Low Loan</v>
      </c>
      <c r="Q463" s="1">
        <f t="shared" si="47"/>
        <v>0</v>
      </c>
    </row>
    <row r="464" spans="1:17" x14ac:dyDescent="0.3">
      <c r="A464" s="1" t="s">
        <v>492</v>
      </c>
      <c r="B464" s="1">
        <v>3</v>
      </c>
      <c r="C464" s="1" t="s">
        <v>20</v>
      </c>
      <c r="D464" s="1">
        <v>55133</v>
      </c>
      <c r="E464" s="1">
        <v>3400</v>
      </c>
      <c r="F464" s="2">
        <v>45940</v>
      </c>
      <c r="G464" s="2">
        <v>45940</v>
      </c>
      <c r="H464" s="1">
        <v>0</v>
      </c>
      <c r="I464" s="1" t="s">
        <v>28</v>
      </c>
      <c r="J464" s="1" t="s">
        <v>22</v>
      </c>
      <c r="K464" s="1" t="s">
        <v>26</v>
      </c>
      <c r="L464" s="1">
        <f t="shared" si="42"/>
        <v>0</v>
      </c>
      <c r="M464" s="1" t="str">
        <f t="shared" si="43"/>
        <v>On Time</v>
      </c>
      <c r="N464" s="1" t="str">
        <f t="shared" si="44"/>
        <v>Low</v>
      </c>
      <c r="O464" s="1">
        <f t="shared" si="45"/>
        <v>0</v>
      </c>
      <c r="P464" s="1" t="str">
        <f t="shared" si="46"/>
        <v>Mid Loan</v>
      </c>
      <c r="Q464" s="1">
        <f t="shared" si="47"/>
        <v>1</v>
      </c>
    </row>
    <row r="465" spans="1:17" x14ac:dyDescent="0.3">
      <c r="A465" s="1" t="s">
        <v>493</v>
      </c>
      <c r="B465" s="1">
        <v>2</v>
      </c>
      <c r="C465" s="1" t="s">
        <v>20</v>
      </c>
      <c r="D465" s="1">
        <v>70677</v>
      </c>
      <c r="E465" s="1">
        <v>3500</v>
      </c>
      <c r="F465" s="2">
        <v>45950</v>
      </c>
      <c r="G465" s="2">
        <v>45965</v>
      </c>
      <c r="H465" s="1">
        <v>15</v>
      </c>
      <c r="I465" s="1" t="s">
        <v>21</v>
      </c>
      <c r="J465" s="1" t="s">
        <v>22</v>
      </c>
      <c r="K465" s="1" t="s">
        <v>54</v>
      </c>
      <c r="L465" s="1">
        <f t="shared" si="42"/>
        <v>1</v>
      </c>
      <c r="M465" s="1" t="str">
        <f t="shared" si="43"/>
        <v>Delayed</v>
      </c>
      <c r="N465" s="1" t="str">
        <f t="shared" si="44"/>
        <v>High</v>
      </c>
      <c r="O465" s="1">
        <f t="shared" si="45"/>
        <v>0</v>
      </c>
      <c r="P465" s="1" t="str">
        <f t="shared" si="46"/>
        <v>High Loan</v>
      </c>
      <c r="Q465" s="1">
        <f t="shared" si="47"/>
        <v>0</v>
      </c>
    </row>
    <row r="466" spans="1:17" x14ac:dyDescent="0.3">
      <c r="A466" s="1" t="s">
        <v>494</v>
      </c>
      <c r="B466" s="1">
        <v>3</v>
      </c>
      <c r="C466" s="1" t="s">
        <v>20</v>
      </c>
      <c r="D466" s="1">
        <v>90135</v>
      </c>
      <c r="E466" s="1">
        <v>7500</v>
      </c>
      <c r="F466" s="2">
        <v>45933</v>
      </c>
      <c r="G466" s="2">
        <v>45933</v>
      </c>
      <c r="H466" s="1">
        <v>0</v>
      </c>
      <c r="I466" s="1" t="s">
        <v>13</v>
      </c>
      <c r="J466" s="1" t="s">
        <v>22</v>
      </c>
      <c r="K466" s="1" t="s">
        <v>26</v>
      </c>
      <c r="L466" s="1">
        <f t="shared" si="42"/>
        <v>0</v>
      </c>
      <c r="M466" s="1" t="str">
        <f t="shared" si="43"/>
        <v>On Time</v>
      </c>
      <c r="N466" s="1" t="str">
        <f t="shared" si="44"/>
        <v>Low</v>
      </c>
      <c r="O466" s="1">
        <f t="shared" si="45"/>
        <v>0</v>
      </c>
      <c r="P466" s="1" t="str">
        <f t="shared" si="46"/>
        <v>Very High Loan</v>
      </c>
      <c r="Q466" s="1">
        <f t="shared" si="47"/>
        <v>1</v>
      </c>
    </row>
    <row r="467" spans="1:17" x14ac:dyDescent="0.3">
      <c r="A467" s="1" t="s">
        <v>495</v>
      </c>
      <c r="B467" s="1">
        <v>2</v>
      </c>
      <c r="C467" s="1" t="s">
        <v>20</v>
      </c>
      <c r="D467" s="1">
        <v>55046</v>
      </c>
      <c r="E467" s="1">
        <v>3400</v>
      </c>
      <c r="F467" s="2">
        <v>45936</v>
      </c>
      <c r="G467" s="2">
        <v>45936</v>
      </c>
      <c r="H467" s="1">
        <v>0</v>
      </c>
      <c r="I467" s="1" t="s">
        <v>17</v>
      </c>
      <c r="J467" s="1" t="s">
        <v>22</v>
      </c>
      <c r="K467" s="1" t="s">
        <v>44</v>
      </c>
      <c r="L467" s="1">
        <f t="shared" si="42"/>
        <v>0</v>
      </c>
      <c r="M467" s="1" t="str">
        <f t="shared" si="43"/>
        <v>On Time</v>
      </c>
      <c r="N467" s="1" t="str">
        <f t="shared" si="44"/>
        <v>Low</v>
      </c>
      <c r="O467" s="1">
        <f t="shared" si="45"/>
        <v>0</v>
      </c>
      <c r="P467" s="1" t="str">
        <f t="shared" si="46"/>
        <v>Mid Loan</v>
      </c>
      <c r="Q467" s="1">
        <f t="shared" si="47"/>
        <v>1</v>
      </c>
    </row>
    <row r="468" spans="1:17" x14ac:dyDescent="0.3">
      <c r="A468" s="1" t="s">
        <v>496</v>
      </c>
      <c r="B468" s="1">
        <v>2</v>
      </c>
      <c r="C468" s="1" t="s">
        <v>12</v>
      </c>
      <c r="D468" s="1">
        <v>67064</v>
      </c>
      <c r="E468" s="1">
        <v>6700</v>
      </c>
      <c r="F468" s="2">
        <v>45937</v>
      </c>
      <c r="G468" s="2">
        <v>45937</v>
      </c>
      <c r="H468" s="1">
        <v>0</v>
      </c>
      <c r="I468" s="1" t="s">
        <v>28</v>
      </c>
      <c r="J468" s="1" t="s">
        <v>22</v>
      </c>
      <c r="K468" s="1" t="s">
        <v>15</v>
      </c>
      <c r="L468" s="1">
        <f t="shared" si="42"/>
        <v>0</v>
      </c>
      <c r="M468" s="1" t="str">
        <f t="shared" si="43"/>
        <v>On Time</v>
      </c>
      <c r="N468" s="1" t="str">
        <f t="shared" si="44"/>
        <v>Low</v>
      </c>
      <c r="O468" s="1">
        <f t="shared" si="45"/>
        <v>0</v>
      </c>
      <c r="P468" s="1" t="str">
        <f t="shared" si="46"/>
        <v>High Loan</v>
      </c>
      <c r="Q468" s="1">
        <f t="shared" si="47"/>
        <v>1</v>
      </c>
    </row>
    <row r="469" spans="1:17" x14ac:dyDescent="0.3">
      <c r="A469" s="1" t="s">
        <v>497</v>
      </c>
      <c r="B469" s="1">
        <v>3</v>
      </c>
      <c r="C469" s="1" t="s">
        <v>20</v>
      </c>
      <c r="D469" s="1">
        <v>89350</v>
      </c>
      <c r="E469" s="1">
        <v>8900</v>
      </c>
      <c r="F469" s="2">
        <v>45950</v>
      </c>
      <c r="G469" s="2">
        <v>45950</v>
      </c>
      <c r="H469" s="1">
        <v>0</v>
      </c>
      <c r="I469" s="1" t="s">
        <v>28</v>
      </c>
      <c r="J469" s="1" t="s">
        <v>22</v>
      </c>
      <c r="K469" s="1" t="s">
        <v>32</v>
      </c>
      <c r="L469" s="1">
        <f t="shared" si="42"/>
        <v>0</v>
      </c>
      <c r="M469" s="1" t="str">
        <f t="shared" si="43"/>
        <v>On Time</v>
      </c>
      <c r="N469" s="1" t="str">
        <f t="shared" si="44"/>
        <v>Low</v>
      </c>
      <c r="O469" s="1">
        <f t="shared" si="45"/>
        <v>0</v>
      </c>
      <c r="P469" s="1" t="str">
        <f t="shared" si="46"/>
        <v>Very High Loan</v>
      </c>
      <c r="Q469" s="1">
        <f t="shared" si="47"/>
        <v>1</v>
      </c>
    </row>
    <row r="470" spans="1:17" x14ac:dyDescent="0.3">
      <c r="A470" s="1" t="s">
        <v>498</v>
      </c>
      <c r="B470" s="1">
        <v>2</v>
      </c>
      <c r="C470" s="1" t="s">
        <v>12</v>
      </c>
      <c r="D470" s="1">
        <v>65893</v>
      </c>
      <c r="E470" s="1">
        <v>5100</v>
      </c>
      <c r="F470" s="2">
        <v>45953</v>
      </c>
      <c r="G470" s="2">
        <v>45953</v>
      </c>
      <c r="H470" s="1">
        <v>0</v>
      </c>
      <c r="I470" s="1" t="s">
        <v>28</v>
      </c>
      <c r="J470" s="1" t="s">
        <v>22</v>
      </c>
      <c r="K470" s="1" t="s">
        <v>15</v>
      </c>
      <c r="L470" s="1">
        <f t="shared" si="42"/>
        <v>0</v>
      </c>
      <c r="M470" s="1" t="str">
        <f t="shared" si="43"/>
        <v>On Time</v>
      </c>
      <c r="N470" s="1" t="str">
        <f t="shared" si="44"/>
        <v>Low</v>
      </c>
      <c r="O470" s="1">
        <f t="shared" si="45"/>
        <v>0</v>
      </c>
      <c r="P470" s="1" t="str">
        <f t="shared" si="46"/>
        <v>High Loan</v>
      </c>
      <c r="Q470" s="1">
        <f t="shared" si="47"/>
        <v>1</v>
      </c>
    </row>
    <row r="471" spans="1:17" x14ac:dyDescent="0.3">
      <c r="A471" s="1" t="s">
        <v>499</v>
      </c>
      <c r="B471" s="1">
        <v>3</v>
      </c>
      <c r="C471" s="1" t="s">
        <v>20</v>
      </c>
      <c r="D471" s="1">
        <v>81272</v>
      </c>
      <c r="E471" s="1">
        <v>5400</v>
      </c>
      <c r="F471" s="2">
        <v>45955</v>
      </c>
      <c r="G471" s="2">
        <v>45958</v>
      </c>
      <c r="H471" s="1">
        <v>3</v>
      </c>
      <c r="I471" s="1" t="s">
        <v>21</v>
      </c>
      <c r="J471" s="1" t="s">
        <v>22</v>
      </c>
      <c r="K471" s="1" t="s">
        <v>23</v>
      </c>
      <c r="L471" s="1">
        <f t="shared" si="42"/>
        <v>1</v>
      </c>
      <c r="M471" s="1" t="str">
        <f t="shared" si="43"/>
        <v>Delayed</v>
      </c>
      <c r="N471" s="1" t="str">
        <f t="shared" si="44"/>
        <v>Medium</v>
      </c>
      <c r="O471" s="1">
        <f t="shared" si="45"/>
        <v>0</v>
      </c>
      <c r="P471" s="1" t="str">
        <f t="shared" si="46"/>
        <v>Very High Loan</v>
      </c>
      <c r="Q471" s="1">
        <f t="shared" si="47"/>
        <v>0</v>
      </c>
    </row>
    <row r="472" spans="1:17" x14ac:dyDescent="0.3">
      <c r="A472" s="1" t="s">
        <v>500</v>
      </c>
      <c r="B472" s="1">
        <v>1</v>
      </c>
      <c r="C472" s="1" t="s">
        <v>12</v>
      </c>
      <c r="D472" s="1">
        <v>87649</v>
      </c>
      <c r="E472" s="1">
        <v>8000</v>
      </c>
      <c r="F472" s="2">
        <v>45957</v>
      </c>
      <c r="G472" s="2">
        <v>45972</v>
      </c>
      <c r="H472" s="1">
        <v>15</v>
      </c>
      <c r="I472" s="1" t="s">
        <v>17</v>
      </c>
      <c r="J472" s="1" t="s">
        <v>14</v>
      </c>
      <c r="K472" s="1" t="s">
        <v>56</v>
      </c>
      <c r="L472" s="1">
        <f t="shared" si="42"/>
        <v>1</v>
      </c>
      <c r="M472" s="1" t="str">
        <f t="shared" si="43"/>
        <v>Delayed</v>
      </c>
      <c r="N472" s="1" t="str">
        <f t="shared" si="44"/>
        <v>High</v>
      </c>
      <c r="O472" s="1">
        <f t="shared" si="45"/>
        <v>1</v>
      </c>
      <c r="P472" s="1" t="str">
        <f t="shared" si="46"/>
        <v>Very High Loan</v>
      </c>
      <c r="Q472" s="1">
        <f t="shared" si="47"/>
        <v>0</v>
      </c>
    </row>
    <row r="473" spans="1:17" x14ac:dyDescent="0.3">
      <c r="A473" s="1" t="s">
        <v>501</v>
      </c>
      <c r="B473" s="1">
        <v>3</v>
      </c>
      <c r="C473" s="1" t="s">
        <v>30</v>
      </c>
      <c r="D473" s="1">
        <v>84674</v>
      </c>
      <c r="E473" s="1">
        <v>4200</v>
      </c>
      <c r="F473" s="2">
        <v>45948</v>
      </c>
      <c r="G473" s="2">
        <v>45948</v>
      </c>
      <c r="H473" s="1">
        <v>0</v>
      </c>
      <c r="I473" s="1" t="s">
        <v>13</v>
      </c>
      <c r="J473" s="1" t="s">
        <v>14</v>
      </c>
      <c r="K473" s="1" t="s">
        <v>23</v>
      </c>
      <c r="L473" s="1">
        <f t="shared" si="42"/>
        <v>0</v>
      </c>
      <c r="M473" s="1" t="str">
        <f t="shared" si="43"/>
        <v>On Time</v>
      </c>
      <c r="N473" s="1" t="str">
        <f t="shared" si="44"/>
        <v>Low</v>
      </c>
      <c r="O473" s="1">
        <f t="shared" si="45"/>
        <v>1</v>
      </c>
      <c r="P473" s="1" t="str">
        <f t="shared" si="46"/>
        <v>Very High Loan</v>
      </c>
      <c r="Q473" s="1">
        <f t="shared" si="47"/>
        <v>1</v>
      </c>
    </row>
    <row r="474" spans="1:17" x14ac:dyDescent="0.3">
      <c r="A474" s="1" t="s">
        <v>502</v>
      </c>
      <c r="B474" s="1">
        <v>1</v>
      </c>
      <c r="C474" s="1" t="s">
        <v>12</v>
      </c>
      <c r="D474" s="1">
        <v>33760</v>
      </c>
      <c r="E474" s="1">
        <v>1600</v>
      </c>
      <c r="F474" s="2">
        <v>45941</v>
      </c>
      <c r="G474" s="2">
        <v>45941</v>
      </c>
      <c r="H474" s="1">
        <v>0</v>
      </c>
      <c r="I474" s="1" t="s">
        <v>28</v>
      </c>
      <c r="J474" s="1" t="s">
        <v>14</v>
      </c>
      <c r="K474" s="1" t="s">
        <v>34</v>
      </c>
      <c r="L474" s="1">
        <f t="shared" si="42"/>
        <v>0</v>
      </c>
      <c r="M474" s="1" t="str">
        <f t="shared" si="43"/>
        <v>On Time</v>
      </c>
      <c r="N474" s="1" t="str">
        <f t="shared" si="44"/>
        <v>Low</v>
      </c>
      <c r="O474" s="1">
        <f t="shared" si="45"/>
        <v>1</v>
      </c>
      <c r="P474" s="1" t="str">
        <f t="shared" si="46"/>
        <v>Low Loan</v>
      </c>
      <c r="Q474" s="1">
        <f t="shared" si="47"/>
        <v>1</v>
      </c>
    </row>
    <row r="475" spans="1:17" x14ac:dyDescent="0.3">
      <c r="A475" s="1" t="s">
        <v>503</v>
      </c>
      <c r="B475" s="1">
        <v>3</v>
      </c>
      <c r="C475" s="1" t="s">
        <v>20</v>
      </c>
      <c r="D475" s="1">
        <v>41927</v>
      </c>
      <c r="E475" s="1">
        <v>1900</v>
      </c>
      <c r="F475" s="2">
        <v>45949</v>
      </c>
      <c r="G475" s="2">
        <v>45949</v>
      </c>
      <c r="H475" s="1">
        <v>0</v>
      </c>
      <c r="I475" s="1" t="s">
        <v>21</v>
      </c>
      <c r="J475" s="1" t="s">
        <v>14</v>
      </c>
      <c r="K475" s="1" t="s">
        <v>23</v>
      </c>
      <c r="L475" s="1">
        <f t="shared" si="42"/>
        <v>0</v>
      </c>
      <c r="M475" s="1" t="str">
        <f t="shared" si="43"/>
        <v>On Time</v>
      </c>
      <c r="N475" s="1" t="str">
        <f t="shared" si="44"/>
        <v>Low</v>
      </c>
      <c r="O475" s="1">
        <f t="shared" si="45"/>
        <v>1</v>
      </c>
      <c r="P475" s="1" t="str">
        <f t="shared" si="46"/>
        <v>Low Loan</v>
      </c>
      <c r="Q475" s="1">
        <f t="shared" si="47"/>
        <v>1</v>
      </c>
    </row>
    <row r="476" spans="1:17" x14ac:dyDescent="0.3">
      <c r="A476" s="1" t="s">
        <v>504</v>
      </c>
      <c r="B476" s="1">
        <v>2</v>
      </c>
      <c r="C476" s="1" t="s">
        <v>20</v>
      </c>
      <c r="D476" s="1">
        <v>81367</v>
      </c>
      <c r="E476" s="1">
        <v>6300</v>
      </c>
      <c r="F476" s="2">
        <v>45935</v>
      </c>
      <c r="G476" s="2">
        <v>45935</v>
      </c>
      <c r="H476" s="1">
        <v>0</v>
      </c>
      <c r="I476" s="1" t="s">
        <v>21</v>
      </c>
      <c r="J476" s="1" t="s">
        <v>22</v>
      </c>
      <c r="K476" s="1" t="s">
        <v>34</v>
      </c>
      <c r="L476" s="1">
        <f t="shared" si="42"/>
        <v>0</v>
      </c>
      <c r="M476" s="1" t="str">
        <f t="shared" si="43"/>
        <v>On Time</v>
      </c>
      <c r="N476" s="1" t="str">
        <f t="shared" si="44"/>
        <v>Low</v>
      </c>
      <c r="O476" s="1">
        <f t="shared" si="45"/>
        <v>0</v>
      </c>
      <c r="P476" s="1" t="str">
        <f t="shared" si="46"/>
        <v>Very High Loan</v>
      </c>
      <c r="Q476" s="1">
        <f t="shared" si="47"/>
        <v>1</v>
      </c>
    </row>
    <row r="477" spans="1:17" x14ac:dyDescent="0.3">
      <c r="A477" s="1" t="s">
        <v>505</v>
      </c>
      <c r="B477" s="1">
        <v>3</v>
      </c>
      <c r="C477" s="1" t="s">
        <v>20</v>
      </c>
      <c r="D477" s="1">
        <v>32588</v>
      </c>
      <c r="E477" s="1">
        <v>2500</v>
      </c>
      <c r="F477" s="2">
        <v>45949</v>
      </c>
      <c r="G477" s="2">
        <v>45949</v>
      </c>
      <c r="H477" s="1">
        <v>0</v>
      </c>
      <c r="I477" s="1" t="s">
        <v>17</v>
      </c>
      <c r="J477" s="1" t="s">
        <v>22</v>
      </c>
      <c r="K477" s="1" t="s">
        <v>44</v>
      </c>
      <c r="L477" s="1">
        <f t="shared" si="42"/>
        <v>0</v>
      </c>
      <c r="M477" s="1" t="str">
        <f t="shared" si="43"/>
        <v>On Time</v>
      </c>
      <c r="N477" s="1" t="str">
        <f t="shared" si="44"/>
        <v>Low</v>
      </c>
      <c r="O477" s="1">
        <f t="shared" si="45"/>
        <v>0</v>
      </c>
      <c r="P477" s="1" t="str">
        <f t="shared" si="46"/>
        <v>Low Loan</v>
      </c>
      <c r="Q477" s="1">
        <f t="shared" si="47"/>
        <v>1</v>
      </c>
    </row>
    <row r="478" spans="1:17" x14ac:dyDescent="0.3">
      <c r="A478" s="1" t="s">
        <v>506</v>
      </c>
      <c r="B478" s="1">
        <v>1</v>
      </c>
      <c r="C478" s="1" t="s">
        <v>12</v>
      </c>
      <c r="D478" s="1">
        <v>72233</v>
      </c>
      <c r="E478" s="1">
        <v>5200</v>
      </c>
      <c r="F478" s="2">
        <v>45941</v>
      </c>
      <c r="G478" s="2">
        <v>45948</v>
      </c>
      <c r="H478" s="1">
        <v>7</v>
      </c>
      <c r="I478" s="1" t="s">
        <v>21</v>
      </c>
      <c r="J478" s="1" t="s">
        <v>14</v>
      </c>
      <c r="K478" s="1" t="s">
        <v>23</v>
      </c>
      <c r="L478" s="1">
        <f t="shared" si="42"/>
        <v>1</v>
      </c>
      <c r="M478" s="1" t="str">
        <f t="shared" si="43"/>
        <v>Delayed</v>
      </c>
      <c r="N478" s="1" t="str">
        <f t="shared" si="44"/>
        <v>Medium</v>
      </c>
      <c r="O478" s="1">
        <f t="shared" si="45"/>
        <v>1</v>
      </c>
      <c r="P478" s="1" t="str">
        <f t="shared" si="46"/>
        <v>High Loan</v>
      </c>
      <c r="Q478" s="1">
        <f t="shared" si="47"/>
        <v>0</v>
      </c>
    </row>
    <row r="479" spans="1:17" x14ac:dyDescent="0.3">
      <c r="A479" s="1" t="s">
        <v>507</v>
      </c>
      <c r="B479" s="1">
        <v>2</v>
      </c>
      <c r="C479" s="1" t="s">
        <v>20</v>
      </c>
      <c r="D479" s="1">
        <v>64738</v>
      </c>
      <c r="E479" s="1">
        <v>9200</v>
      </c>
      <c r="F479" s="2">
        <v>45954</v>
      </c>
      <c r="G479" s="2">
        <v>45954</v>
      </c>
      <c r="H479" s="1">
        <v>0</v>
      </c>
      <c r="I479" s="1" t="s">
        <v>17</v>
      </c>
      <c r="J479" s="1" t="s">
        <v>22</v>
      </c>
      <c r="K479" s="1" t="s">
        <v>15</v>
      </c>
      <c r="L479" s="1">
        <f t="shared" si="42"/>
        <v>0</v>
      </c>
      <c r="M479" s="1" t="str">
        <f t="shared" si="43"/>
        <v>On Time</v>
      </c>
      <c r="N479" s="1" t="str">
        <f t="shared" si="44"/>
        <v>Low</v>
      </c>
      <c r="O479" s="1">
        <f t="shared" si="45"/>
        <v>0</v>
      </c>
      <c r="P479" s="1" t="str">
        <f t="shared" si="46"/>
        <v>High Loan</v>
      </c>
      <c r="Q479" s="1">
        <f t="shared" si="47"/>
        <v>1</v>
      </c>
    </row>
    <row r="480" spans="1:17" x14ac:dyDescent="0.3">
      <c r="A480" s="1" t="s">
        <v>508</v>
      </c>
      <c r="B480" s="1">
        <v>3</v>
      </c>
      <c r="C480" s="1" t="s">
        <v>20</v>
      </c>
      <c r="D480" s="1">
        <v>53397</v>
      </c>
      <c r="E480" s="1">
        <v>2700</v>
      </c>
      <c r="F480" s="2">
        <v>45942</v>
      </c>
      <c r="G480" s="2">
        <v>45949</v>
      </c>
      <c r="H480" s="1">
        <v>7</v>
      </c>
      <c r="I480" s="1" t="s">
        <v>17</v>
      </c>
      <c r="J480" s="1" t="s">
        <v>14</v>
      </c>
      <c r="K480" s="1" t="s">
        <v>44</v>
      </c>
      <c r="L480" s="1">
        <f t="shared" si="42"/>
        <v>1</v>
      </c>
      <c r="M480" s="1" t="str">
        <f t="shared" si="43"/>
        <v>Delayed</v>
      </c>
      <c r="N480" s="1" t="str">
        <f t="shared" si="44"/>
        <v>Medium</v>
      </c>
      <c r="O480" s="1">
        <f t="shared" si="45"/>
        <v>1</v>
      </c>
      <c r="P480" s="1" t="str">
        <f t="shared" si="46"/>
        <v>Mid Loan</v>
      </c>
      <c r="Q480" s="1">
        <f t="shared" si="47"/>
        <v>0</v>
      </c>
    </row>
    <row r="481" spans="1:17" x14ac:dyDescent="0.3">
      <c r="A481" s="1" t="s">
        <v>509</v>
      </c>
      <c r="B481" s="1">
        <v>2</v>
      </c>
      <c r="C481" s="1" t="s">
        <v>12</v>
      </c>
      <c r="D481" s="1">
        <v>96367</v>
      </c>
      <c r="E481" s="1">
        <v>4200</v>
      </c>
      <c r="F481" s="2">
        <v>45940</v>
      </c>
      <c r="G481" s="2">
        <v>45955</v>
      </c>
      <c r="H481" s="1">
        <v>15</v>
      </c>
      <c r="I481" s="1" t="s">
        <v>28</v>
      </c>
      <c r="J481" s="1" t="s">
        <v>22</v>
      </c>
      <c r="K481" s="1" t="s">
        <v>32</v>
      </c>
      <c r="L481" s="1">
        <f t="shared" si="42"/>
        <v>1</v>
      </c>
      <c r="M481" s="1" t="str">
        <f t="shared" si="43"/>
        <v>Delayed</v>
      </c>
      <c r="N481" s="1" t="str">
        <f t="shared" si="44"/>
        <v>High</v>
      </c>
      <c r="O481" s="1">
        <f t="shared" si="45"/>
        <v>0</v>
      </c>
      <c r="P481" s="1" t="str">
        <f t="shared" si="46"/>
        <v>Very High Loan</v>
      </c>
      <c r="Q481" s="1">
        <f t="shared" si="47"/>
        <v>0</v>
      </c>
    </row>
    <row r="482" spans="1:17" x14ac:dyDescent="0.3">
      <c r="A482" s="1" t="s">
        <v>510</v>
      </c>
      <c r="B482" s="1">
        <v>2</v>
      </c>
      <c r="C482" s="1" t="s">
        <v>20</v>
      </c>
      <c r="D482" s="1">
        <v>91260</v>
      </c>
      <c r="E482" s="1">
        <v>11400</v>
      </c>
      <c r="F482" s="2">
        <v>45938</v>
      </c>
      <c r="G482" s="2">
        <v>45938</v>
      </c>
      <c r="H482" s="1">
        <v>0</v>
      </c>
      <c r="I482" s="1" t="s">
        <v>17</v>
      </c>
      <c r="J482" s="1" t="s">
        <v>22</v>
      </c>
      <c r="K482" s="1" t="s">
        <v>15</v>
      </c>
      <c r="L482" s="1">
        <f t="shared" si="42"/>
        <v>0</v>
      </c>
      <c r="M482" s="1" t="str">
        <f t="shared" si="43"/>
        <v>On Time</v>
      </c>
      <c r="N482" s="1" t="str">
        <f t="shared" si="44"/>
        <v>Low</v>
      </c>
      <c r="O482" s="1">
        <f t="shared" si="45"/>
        <v>0</v>
      </c>
      <c r="P482" s="1" t="str">
        <f t="shared" si="46"/>
        <v>Very High Loan</v>
      </c>
      <c r="Q482" s="1">
        <f t="shared" si="47"/>
        <v>1</v>
      </c>
    </row>
    <row r="483" spans="1:17" x14ac:dyDescent="0.3">
      <c r="A483" s="1" t="s">
        <v>511</v>
      </c>
      <c r="B483" s="1">
        <v>2</v>
      </c>
      <c r="C483" s="1" t="s">
        <v>12</v>
      </c>
      <c r="D483" s="1">
        <v>96619</v>
      </c>
      <c r="E483" s="1">
        <v>4400</v>
      </c>
      <c r="F483" s="2">
        <v>45954</v>
      </c>
      <c r="G483" s="2">
        <v>45969</v>
      </c>
      <c r="H483" s="1">
        <v>15</v>
      </c>
      <c r="I483" s="1" t="s">
        <v>28</v>
      </c>
      <c r="J483" s="1" t="s">
        <v>22</v>
      </c>
      <c r="K483" s="1" t="s">
        <v>23</v>
      </c>
      <c r="L483" s="1">
        <f t="shared" si="42"/>
        <v>1</v>
      </c>
      <c r="M483" s="1" t="str">
        <f t="shared" si="43"/>
        <v>Delayed</v>
      </c>
      <c r="N483" s="1" t="str">
        <f t="shared" si="44"/>
        <v>High</v>
      </c>
      <c r="O483" s="1">
        <f t="shared" si="45"/>
        <v>0</v>
      </c>
      <c r="P483" s="1" t="str">
        <f t="shared" si="46"/>
        <v>Very High Loan</v>
      </c>
      <c r="Q483" s="1">
        <f t="shared" si="47"/>
        <v>0</v>
      </c>
    </row>
    <row r="484" spans="1:17" x14ac:dyDescent="0.3">
      <c r="A484" s="1" t="s">
        <v>512</v>
      </c>
      <c r="B484" s="1">
        <v>2</v>
      </c>
      <c r="C484" s="1" t="s">
        <v>20</v>
      </c>
      <c r="D484" s="1">
        <v>39816</v>
      </c>
      <c r="E484" s="1">
        <v>4400</v>
      </c>
      <c r="F484" s="2">
        <v>45958</v>
      </c>
      <c r="G484" s="2">
        <v>45961</v>
      </c>
      <c r="H484" s="1">
        <v>3</v>
      </c>
      <c r="I484" s="1" t="s">
        <v>17</v>
      </c>
      <c r="J484" s="1" t="s">
        <v>14</v>
      </c>
      <c r="K484" s="1" t="s">
        <v>70</v>
      </c>
      <c r="L484" s="1">
        <f t="shared" si="42"/>
        <v>1</v>
      </c>
      <c r="M484" s="1" t="str">
        <f t="shared" si="43"/>
        <v>Delayed</v>
      </c>
      <c r="N484" s="1" t="str">
        <f t="shared" si="44"/>
        <v>Medium</v>
      </c>
      <c r="O484" s="1">
        <f t="shared" si="45"/>
        <v>1</v>
      </c>
      <c r="P484" s="1" t="str">
        <f t="shared" si="46"/>
        <v>Low Loan</v>
      </c>
      <c r="Q484" s="1">
        <f t="shared" si="47"/>
        <v>0</v>
      </c>
    </row>
    <row r="485" spans="1:17" x14ac:dyDescent="0.3">
      <c r="A485" s="1" t="s">
        <v>513</v>
      </c>
      <c r="B485" s="1">
        <v>2</v>
      </c>
      <c r="C485" s="1" t="s">
        <v>20</v>
      </c>
      <c r="D485" s="1">
        <v>62240</v>
      </c>
      <c r="E485" s="1">
        <v>6900</v>
      </c>
      <c r="F485" s="2">
        <v>45958</v>
      </c>
      <c r="G485" s="2">
        <v>45961</v>
      </c>
      <c r="H485" s="1">
        <v>3</v>
      </c>
      <c r="I485" s="1" t="s">
        <v>21</v>
      </c>
      <c r="J485" s="1" t="s">
        <v>22</v>
      </c>
      <c r="K485" s="1" t="s">
        <v>54</v>
      </c>
      <c r="L485" s="1">
        <f t="shared" si="42"/>
        <v>1</v>
      </c>
      <c r="M485" s="1" t="str">
        <f t="shared" si="43"/>
        <v>Delayed</v>
      </c>
      <c r="N485" s="1" t="str">
        <f t="shared" si="44"/>
        <v>Medium</v>
      </c>
      <c r="O485" s="1">
        <f t="shared" si="45"/>
        <v>0</v>
      </c>
      <c r="P485" s="1" t="str">
        <f t="shared" si="46"/>
        <v>High Loan</v>
      </c>
      <c r="Q485" s="1">
        <f t="shared" si="47"/>
        <v>0</v>
      </c>
    </row>
    <row r="486" spans="1:17" x14ac:dyDescent="0.3">
      <c r="A486" s="1" t="s">
        <v>514</v>
      </c>
      <c r="B486" s="1">
        <v>2</v>
      </c>
      <c r="C486" s="1" t="s">
        <v>12</v>
      </c>
      <c r="D486" s="1">
        <v>26276</v>
      </c>
      <c r="E486" s="1">
        <v>1400</v>
      </c>
      <c r="F486" s="2">
        <v>45939</v>
      </c>
      <c r="G486" s="2">
        <v>45939</v>
      </c>
      <c r="H486" s="1">
        <v>0</v>
      </c>
      <c r="I486" s="1" t="s">
        <v>21</v>
      </c>
      <c r="J486" s="1" t="s">
        <v>22</v>
      </c>
      <c r="K486" s="1" t="s">
        <v>34</v>
      </c>
      <c r="L486" s="1">
        <f t="shared" si="42"/>
        <v>0</v>
      </c>
      <c r="M486" s="1" t="str">
        <f t="shared" si="43"/>
        <v>On Time</v>
      </c>
      <c r="N486" s="1" t="str">
        <f t="shared" si="44"/>
        <v>Low</v>
      </c>
      <c r="O486" s="1">
        <f t="shared" si="45"/>
        <v>0</v>
      </c>
      <c r="P486" s="1" t="str">
        <f t="shared" si="46"/>
        <v>Low Loan</v>
      </c>
      <c r="Q486" s="1">
        <f t="shared" si="47"/>
        <v>1</v>
      </c>
    </row>
    <row r="487" spans="1:17" x14ac:dyDescent="0.3">
      <c r="A487" s="1" t="s">
        <v>515</v>
      </c>
      <c r="B487" s="1">
        <v>3</v>
      </c>
      <c r="C487" s="1" t="s">
        <v>20</v>
      </c>
      <c r="D487" s="1">
        <v>99530</v>
      </c>
      <c r="E487" s="1">
        <v>7100</v>
      </c>
      <c r="F487" s="2">
        <v>45934</v>
      </c>
      <c r="G487" s="2">
        <v>45934</v>
      </c>
      <c r="H487" s="1">
        <v>0</v>
      </c>
      <c r="I487" s="1" t="s">
        <v>13</v>
      </c>
      <c r="J487" s="1" t="s">
        <v>22</v>
      </c>
      <c r="K487" s="1" t="s">
        <v>15</v>
      </c>
      <c r="L487" s="1">
        <f t="shared" si="42"/>
        <v>0</v>
      </c>
      <c r="M487" s="1" t="str">
        <f t="shared" si="43"/>
        <v>On Time</v>
      </c>
      <c r="N487" s="1" t="str">
        <f t="shared" si="44"/>
        <v>Low</v>
      </c>
      <c r="O487" s="1">
        <f t="shared" si="45"/>
        <v>0</v>
      </c>
      <c r="P487" s="1" t="str">
        <f t="shared" si="46"/>
        <v>Very High Loan</v>
      </c>
      <c r="Q487" s="1">
        <f t="shared" si="47"/>
        <v>1</v>
      </c>
    </row>
    <row r="488" spans="1:17" x14ac:dyDescent="0.3">
      <c r="A488" s="1" t="s">
        <v>516</v>
      </c>
      <c r="B488" s="1">
        <v>1</v>
      </c>
      <c r="C488" s="1" t="s">
        <v>12</v>
      </c>
      <c r="D488" s="1">
        <v>43499</v>
      </c>
      <c r="E488" s="1">
        <v>3100</v>
      </c>
      <c r="F488" s="2">
        <v>45935</v>
      </c>
      <c r="G488" s="2">
        <v>45935</v>
      </c>
      <c r="H488" s="1">
        <v>0</v>
      </c>
      <c r="I488" s="1" t="s">
        <v>13</v>
      </c>
      <c r="J488" s="1" t="s">
        <v>22</v>
      </c>
      <c r="K488" s="1" t="s">
        <v>26</v>
      </c>
      <c r="L488" s="1">
        <f t="shared" si="42"/>
        <v>0</v>
      </c>
      <c r="M488" s="1" t="str">
        <f t="shared" si="43"/>
        <v>On Time</v>
      </c>
      <c r="N488" s="1" t="str">
        <f t="shared" si="44"/>
        <v>Low</v>
      </c>
      <c r="O488" s="1">
        <f t="shared" si="45"/>
        <v>0</v>
      </c>
      <c r="P488" s="1" t="str">
        <f t="shared" si="46"/>
        <v>Mid Loan</v>
      </c>
      <c r="Q488" s="1">
        <f t="shared" si="47"/>
        <v>1</v>
      </c>
    </row>
    <row r="489" spans="1:17" x14ac:dyDescent="0.3">
      <c r="A489" s="1" t="s">
        <v>517</v>
      </c>
      <c r="B489" s="1">
        <v>2</v>
      </c>
      <c r="C489" s="1" t="s">
        <v>20</v>
      </c>
      <c r="D489" s="1">
        <v>91635</v>
      </c>
      <c r="E489" s="1">
        <v>4000</v>
      </c>
      <c r="F489" s="2">
        <v>45951</v>
      </c>
      <c r="G489" s="2">
        <v>45951</v>
      </c>
      <c r="H489" s="1">
        <v>0</v>
      </c>
      <c r="I489" s="1" t="s">
        <v>17</v>
      </c>
      <c r="J489" s="1" t="s">
        <v>22</v>
      </c>
      <c r="K489" s="1" t="s">
        <v>34</v>
      </c>
      <c r="L489" s="1">
        <f t="shared" si="42"/>
        <v>0</v>
      </c>
      <c r="M489" s="1" t="str">
        <f t="shared" si="43"/>
        <v>On Time</v>
      </c>
      <c r="N489" s="1" t="str">
        <f t="shared" si="44"/>
        <v>Low</v>
      </c>
      <c r="O489" s="1">
        <f t="shared" si="45"/>
        <v>0</v>
      </c>
      <c r="P489" s="1" t="str">
        <f t="shared" si="46"/>
        <v>Very High Loan</v>
      </c>
      <c r="Q489" s="1">
        <f t="shared" si="47"/>
        <v>1</v>
      </c>
    </row>
    <row r="490" spans="1:17" x14ac:dyDescent="0.3">
      <c r="A490" s="1" t="s">
        <v>518</v>
      </c>
      <c r="B490" s="1">
        <v>3</v>
      </c>
      <c r="C490" s="1" t="s">
        <v>20</v>
      </c>
      <c r="D490" s="1">
        <v>55946</v>
      </c>
      <c r="E490" s="1">
        <v>3700</v>
      </c>
      <c r="F490" s="2">
        <v>45938</v>
      </c>
      <c r="G490" s="2">
        <v>45938</v>
      </c>
      <c r="H490" s="1">
        <v>0</v>
      </c>
      <c r="I490" s="1" t="s">
        <v>21</v>
      </c>
      <c r="J490" s="1" t="s">
        <v>14</v>
      </c>
      <c r="K490" s="1" t="s">
        <v>34</v>
      </c>
      <c r="L490" s="1">
        <f t="shared" si="42"/>
        <v>0</v>
      </c>
      <c r="M490" s="1" t="str">
        <f t="shared" si="43"/>
        <v>On Time</v>
      </c>
      <c r="N490" s="1" t="str">
        <f t="shared" si="44"/>
        <v>Low</v>
      </c>
      <c r="O490" s="1">
        <f t="shared" si="45"/>
        <v>1</v>
      </c>
      <c r="P490" s="1" t="str">
        <f t="shared" si="46"/>
        <v>Mid Loan</v>
      </c>
      <c r="Q490" s="1">
        <f t="shared" si="47"/>
        <v>1</v>
      </c>
    </row>
    <row r="491" spans="1:17" x14ac:dyDescent="0.3">
      <c r="A491" s="1" t="s">
        <v>519</v>
      </c>
      <c r="B491" s="1">
        <v>3</v>
      </c>
      <c r="C491" s="1" t="s">
        <v>12</v>
      </c>
      <c r="D491" s="1">
        <v>75204</v>
      </c>
      <c r="E491" s="1">
        <v>8400</v>
      </c>
      <c r="F491" s="2">
        <v>45953</v>
      </c>
      <c r="G491" s="2">
        <v>45956</v>
      </c>
      <c r="H491" s="1">
        <v>3</v>
      </c>
      <c r="I491" s="1" t="s">
        <v>17</v>
      </c>
      <c r="J491" s="1" t="s">
        <v>22</v>
      </c>
      <c r="K491" s="1" t="s">
        <v>15</v>
      </c>
      <c r="L491" s="1">
        <f t="shared" si="42"/>
        <v>1</v>
      </c>
      <c r="M491" s="1" t="str">
        <f t="shared" si="43"/>
        <v>Delayed</v>
      </c>
      <c r="N491" s="1" t="str">
        <f t="shared" si="44"/>
        <v>Medium</v>
      </c>
      <c r="O491" s="1">
        <f t="shared" si="45"/>
        <v>0</v>
      </c>
      <c r="P491" s="1" t="str">
        <f t="shared" si="46"/>
        <v>High Loan</v>
      </c>
      <c r="Q491" s="1">
        <f t="shared" si="47"/>
        <v>0</v>
      </c>
    </row>
    <row r="492" spans="1:17" x14ac:dyDescent="0.3">
      <c r="A492" s="1" t="s">
        <v>520</v>
      </c>
      <c r="B492" s="1">
        <v>2</v>
      </c>
      <c r="C492" s="1" t="s">
        <v>12</v>
      </c>
      <c r="D492" s="1">
        <v>71886</v>
      </c>
      <c r="E492" s="1">
        <v>4200</v>
      </c>
      <c r="F492" s="2">
        <v>45939</v>
      </c>
      <c r="G492" s="2">
        <v>45939</v>
      </c>
      <c r="H492" s="1">
        <v>0</v>
      </c>
      <c r="I492" s="1" t="s">
        <v>21</v>
      </c>
      <c r="J492" s="1" t="s">
        <v>22</v>
      </c>
      <c r="K492" s="1" t="s">
        <v>44</v>
      </c>
      <c r="L492" s="1">
        <f t="shared" si="42"/>
        <v>0</v>
      </c>
      <c r="M492" s="1" t="str">
        <f t="shared" si="43"/>
        <v>On Time</v>
      </c>
      <c r="N492" s="1" t="str">
        <f t="shared" si="44"/>
        <v>Low</v>
      </c>
      <c r="O492" s="1">
        <f t="shared" si="45"/>
        <v>0</v>
      </c>
      <c r="P492" s="1" t="str">
        <f t="shared" si="46"/>
        <v>High Loan</v>
      </c>
      <c r="Q492" s="1">
        <f t="shared" si="47"/>
        <v>1</v>
      </c>
    </row>
    <row r="493" spans="1:17" x14ac:dyDescent="0.3">
      <c r="A493" s="1" t="s">
        <v>521</v>
      </c>
      <c r="B493" s="1">
        <v>2</v>
      </c>
      <c r="C493" s="1" t="s">
        <v>12</v>
      </c>
      <c r="D493" s="1">
        <v>91652</v>
      </c>
      <c r="E493" s="1">
        <v>7100</v>
      </c>
      <c r="F493" s="2">
        <v>45945</v>
      </c>
      <c r="G493" s="2">
        <v>45975</v>
      </c>
      <c r="H493" s="1">
        <v>30</v>
      </c>
      <c r="I493" s="1" t="s">
        <v>13</v>
      </c>
      <c r="J493" s="1" t="s">
        <v>22</v>
      </c>
      <c r="K493" s="1" t="s">
        <v>23</v>
      </c>
      <c r="L493" s="1">
        <f t="shared" si="42"/>
        <v>1</v>
      </c>
      <c r="M493" s="1" t="str">
        <f t="shared" si="43"/>
        <v>Delayed</v>
      </c>
      <c r="N493" s="1" t="str">
        <f t="shared" si="44"/>
        <v>High</v>
      </c>
      <c r="O493" s="1">
        <f t="shared" si="45"/>
        <v>0</v>
      </c>
      <c r="P493" s="1" t="str">
        <f t="shared" si="46"/>
        <v>Very High Loan</v>
      </c>
      <c r="Q493" s="1">
        <f t="shared" si="47"/>
        <v>0</v>
      </c>
    </row>
    <row r="494" spans="1:17" x14ac:dyDescent="0.3">
      <c r="A494" s="1" t="s">
        <v>522</v>
      </c>
      <c r="B494" s="1">
        <v>2</v>
      </c>
      <c r="C494" s="1" t="s">
        <v>20</v>
      </c>
      <c r="D494" s="1">
        <v>35563</v>
      </c>
      <c r="E494" s="1">
        <v>5100</v>
      </c>
      <c r="F494" s="2">
        <v>45945</v>
      </c>
      <c r="G494" s="2">
        <v>45952</v>
      </c>
      <c r="H494" s="1">
        <v>7</v>
      </c>
      <c r="I494" s="1" t="s">
        <v>21</v>
      </c>
      <c r="J494" s="1" t="s">
        <v>14</v>
      </c>
      <c r="K494" s="1" t="s">
        <v>70</v>
      </c>
      <c r="L494" s="1">
        <f t="shared" si="42"/>
        <v>1</v>
      </c>
      <c r="M494" s="1" t="str">
        <f t="shared" si="43"/>
        <v>Delayed</v>
      </c>
      <c r="N494" s="1" t="str">
        <f t="shared" si="44"/>
        <v>Medium</v>
      </c>
      <c r="O494" s="1">
        <f t="shared" si="45"/>
        <v>1</v>
      </c>
      <c r="P494" s="1" t="str">
        <f t="shared" si="46"/>
        <v>Low Loan</v>
      </c>
      <c r="Q494" s="1">
        <f t="shared" si="47"/>
        <v>0</v>
      </c>
    </row>
    <row r="495" spans="1:17" x14ac:dyDescent="0.3">
      <c r="A495" s="1" t="s">
        <v>523</v>
      </c>
      <c r="B495" s="1">
        <v>1</v>
      </c>
      <c r="C495" s="1" t="s">
        <v>12</v>
      </c>
      <c r="D495" s="1">
        <v>29847</v>
      </c>
      <c r="E495" s="1">
        <v>1700</v>
      </c>
      <c r="F495" s="2">
        <v>45946</v>
      </c>
      <c r="G495" s="2">
        <v>45946</v>
      </c>
      <c r="H495" s="1">
        <v>0</v>
      </c>
      <c r="I495" s="1" t="s">
        <v>13</v>
      </c>
      <c r="J495" s="1" t="s">
        <v>22</v>
      </c>
      <c r="K495" s="1" t="s">
        <v>26</v>
      </c>
      <c r="L495" s="1">
        <f t="shared" si="42"/>
        <v>0</v>
      </c>
      <c r="M495" s="1" t="str">
        <f t="shared" si="43"/>
        <v>On Time</v>
      </c>
      <c r="N495" s="1" t="str">
        <f t="shared" si="44"/>
        <v>Low</v>
      </c>
      <c r="O495" s="1">
        <f t="shared" si="45"/>
        <v>0</v>
      </c>
      <c r="P495" s="1" t="str">
        <f t="shared" si="46"/>
        <v>Low Loan</v>
      </c>
      <c r="Q495" s="1">
        <f t="shared" si="47"/>
        <v>1</v>
      </c>
    </row>
    <row r="496" spans="1:17" x14ac:dyDescent="0.3">
      <c r="A496" s="1" t="s">
        <v>524</v>
      </c>
      <c r="B496" s="1">
        <v>2</v>
      </c>
      <c r="C496" s="1" t="s">
        <v>20</v>
      </c>
      <c r="D496" s="1">
        <v>46155</v>
      </c>
      <c r="E496" s="1">
        <v>2200</v>
      </c>
      <c r="F496" s="2">
        <v>45944</v>
      </c>
      <c r="G496" s="2">
        <v>45944</v>
      </c>
      <c r="H496" s="1">
        <v>0</v>
      </c>
      <c r="I496" s="1" t="s">
        <v>13</v>
      </c>
      <c r="J496" s="1" t="s">
        <v>22</v>
      </c>
      <c r="K496" s="1" t="s">
        <v>26</v>
      </c>
      <c r="L496" s="1">
        <f t="shared" si="42"/>
        <v>0</v>
      </c>
      <c r="M496" s="1" t="str">
        <f t="shared" si="43"/>
        <v>On Time</v>
      </c>
      <c r="N496" s="1" t="str">
        <f t="shared" si="44"/>
        <v>Low</v>
      </c>
      <c r="O496" s="1">
        <f t="shared" si="45"/>
        <v>0</v>
      </c>
      <c r="P496" s="1" t="str">
        <f t="shared" si="46"/>
        <v>Mid Loan</v>
      </c>
      <c r="Q496" s="1">
        <f t="shared" si="47"/>
        <v>1</v>
      </c>
    </row>
    <row r="497" spans="1:17" x14ac:dyDescent="0.3">
      <c r="A497" s="1" t="s">
        <v>525</v>
      </c>
      <c r="B497" s="1">
        <v>2</v>
      </c>
      <c r="C497" s="1" t="s">
        <v>20</v>
      </c>
      <c r="D497" s="1">
        <v>99671</v>
      </c>
      <c r="E497" s="1">
        <v>14200</v>
      </c>
      <c r="F497" s="2">
        <v>45938</v>
      </c>
      <c r="G497" s="2">
        <v>45968</v>
      </c>
      <c r="H497" s="1">
        <v>30</v>
      </c>
      <c r="I497" s="1" t="s">
        <v>17</v>
      </c>
      <c r="J497" s="1" t="s">
        <v>22</v>
      </c>
      <c r="K497" s="1" t="s">
        <v>54</v>
      </c>
      <c r="L497" s="1">
        <f t="shared" si="42"/>
        <v>1</v>
      </c>
      <c r="M497" s="1" t="str">
        <f t="shared" si="43"/>
        <v>Delayed</v>
      </c>
      <c r="N497" s="1" t="str">
        <f t="shared" si="44"/>
        <v>High</v>
      </c>
      <c r="O497" s="1">
        <f t="shared" si="45"/>
        <v>0</v>
      </c>
      <c r="P497" s="1" t="str">
        <f t="shared" si="46"/>
        <v>Very High Loan</v>
      </c>
      <c r="Q497" s="1">
        <f t="shared" si="47"/>
        <v>0</v>
      </c>
    </row>
    <row r="498" spans="1:17" x14ac:dyDescent="0.3">
      <c r="A498" s="1" t="s">
        <v>526</v>
      </c>
      <c r="B498" s="1">
        <v>2</v>
      </c>
      <c r="C498" s="1" t="s">
        <v>30</v>
      </c>
      <c r="D498" s="1">
        <v>87278</v>
      </c>
      <c r="E498" s="1">
        <v>5500</v>
      </c>
      <c r="F498" s="2">
        <v>45948</v>
      </c>
      <c r="G498" s="2">
        <v>45963</v>
      </c>
      <c r="H498" s="1">
        <v>15</v>
      </c>
      <c r="I498" s="1" t="s">
        <v>28</v>
      </c>
      <c r="J498" s="1" t="s">
        <v>22</v>
      </c>
      <c r="K498" s="1" t="s">
        <v>34</v>
      </c>
      <c r="L498" s="1">
        <f t="shared" si="42"/>
        <v>1</v>
      </c>
      <c r="M498" s="1" t="str">
        <f t="shared" si="43"/>
        <v>Delayed</v>
      </c>
      <c r="N498" s="1" t="str">
        <f t="shared" si="44"/>
        <v>High</v>
      </c>
      <c r="O498" s="1">
        <f t="shared" si="45"/>
        <v>0</v>
      </c>
      <c r="P498" s="1" t="str">
        <f t="shared" si="46"/>
        <v>Very High Loan</v>
      </c>
      <c r="Q498" s="1">
        <f t="shared" si="47"/>
        <v>0</v>
      </c>
    </row>
    <row r="499" spans="1:17" x14ac:dyDescent="0.3">
      <c r="A499" s="1" t="s">
        <v>527</v>
      </c>
      <c r="B499" s="1">
        <v>1</v>
      </c>
      <c r="C499" s="1" t="s">
        <v>20</v>
      </c>
      <c r="D499" s="1">
        <v>38309</v>
      </c>
      <c r="E499" s="1">
        <v>2600</v>
      </c>
      <c r="F499" s="2">
        <v>45940</v>
      </c>
      <c r="G499" s="2">
        <v>45947</v>
      </c>
      <c r="H499" s="1">
        <v>7</v>
      </c>
      <c r="I499" s="1" t="s">
        <v>28</v>
      </c>
      <c r="J499" s="1" t="s">
        <v>22</v>
      </c>
      <c r="K499" s="1" t="s">
        <v>44</v>
      </c>
      <c r="L499" s="1">
        <f t="shared" si="42"/>
        <v>1</v>
      </c>
      <c r="M499" s="1" t="str">
        <f t="shared" si="43"/>
        <v>Delayed</v>
      </c>
      <c r="N499" s="1" t="str">
        <f t="shared" si="44"/>
        <v>Medium</v>
      </c>
      <c r="O499" s="1">
        <f t="shared" si="45"/>
        <v>0</v>
      </c>
      <c r="P499" s="1" t="str">
        <f t="shared" si="46"/>
        <v>Low Loan</v>
      </c>
      <c r="Q499" s="1">
        <f t="shared" si="47"/>
        <v>0</v>
      </c>
    </row>
    <row r="500" spans="1:17" x14ac:dyDescent="0.3">
      <c r="A500" s="1" t="s">
        <v>528</v>
      </c>
      <c r="B500" s="1">
        <v>3</v>
      </c>
      <c r="C500" s="1" t="s">
        <v>30</v>
      </c>
      <c r="D500" s="1">
        <v>20619</v>
      </c>
      <c r="E500" s="1">
        <v>1000</v>
      </c>
      <c r="F500" s="2">
        <v>45958</v>
      </c>
      <c r="G500" s="2">
        <v>45958</v>
      </c>
      <c r="H500" s="1">
        <v>0</v>
      </c>
      <c r="I500" s="1" t="s">
        <v>13</v>
      </c>
      <c r="J500" s="1" t="s">
        <v>14</v>
      </c>
      <c r="K500" s="1" t="s">
        <v>18</v>
      </c>
      <c r="L500" s="1">
        <f t="shared" si="42"/>
        <v>0</v>
      </c>
      <c r="M500" s="1" t="str">
        <f t="shared" si="43"/>
        <v>On Time</v>
      </c>
      <c r="N500" s="1" t="str">
        <f t="shared" si="44"/>
        <v>Low</v>
      </c>
      <c r="O500" s="1">
        <f t="shared" si="45"/>
        <v>1</v>
      </c>
      <c r="P500" s="1" t="str">
        <f t="shared" si="46"/>
        <v>Low Loan</v>
      </c>
      <c r="Q500" s="1">
        <f t="shared" si="47"/>
        <v>1</v>
      </c>
    </row>
    <row r="501" spans="1:17" x14ac:dyDescent="0.3">
      <c r="A501" s="1" t="s">
        <v>529</v>
      </c>
      <c r="B501" s="1">
        <v>3</v>
      </c>
      <c r="C501" s="1" t="s">
        <v>20</v>
      </c>
      <c r="D501" s="1">
        <v>70108</v>
      </c>
      <c r="E501" s="1">
        <v>3200</v>
      </c>
      <c r="F501" s="2">
        <v>45950</v>
      </c>
      <c r="G501" s="2">
        <v>45950</v>
      </c>
      <c r="H501" s="1">
        <v>0</v>
      </c>
      <c r="I501" s="1" t="s">
        <v>28</v>
      </c>
      <c r="J501" s="1" t="s">
        <v>22</v>
      </c>
      <c r="K501" s="1" t="s">
        <v>34</v>
      </c>
      <c r="L501" s="1">
        <f t="shared" si="42"/>
        <v>0</v>
      </c>
      <c r="M501" s="1" t="str">
        <f t="shared" si="43"/>
        <v>On Time</v>
      </c>
      <c r="N501" s="1" t="str">
        <f t="shared" si="44"/>
        <v>Low</v>
      </c>
      <c r="O501" s="1">
        <f t="shared" si="45"/>
        <v>0</v>
      </c>
      <c r="P501" s="1" t="str">
        <f t="shared" si="46"/>
        <v>High Loan</v>
      </c>
      <c r="Q501" s="1">
        <f t="shared" si="47"/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BFAC-AB5F-4E31-BAD6-7FA2F5282D62}">
  <dimension ref="A1:I17"/>
  <sheetViews>
    <sheetView zoomScale="93" workbookViewId="0">
      <selection activeCell="D21" sqref="D21"/>
    </sheetView>
  </sheetViews>
  <sheetFormatPr defaultRowHeight="14.4" x14ac:dyDescent="0.3"/>
  <cols>
    <col min="1" max="1" width="24.33203125" bestFit="1" customWidth="1"/>
    <col min="2" max="2" width="23.5546875" bestFit="1" customWidth="1"/>
    <col min="3" max="3" width="16.21875" customWidth="1"/>
    <col min="4" max="4" width="23.5546875" bestFit="1" customWidth="1"/>
    <col min="5" max="5" width="16.33203125" bestFit="1" customWidth="1"/>
    <col min="6" max="6" width="23.5546875" bestFit="1" customWidth="1"/>
    <col min="7" max="7" width="16.33203125" bestFit="1" customWidth="1"/>
    <col min="8" max="8" width="28.33203125" bestFit="1" customWidth="1"/>
    <col min="9" max="9" width="21.109375" bestFit="1" customWidth="1"/>
    <col min="10" max="10" width="19.88671875" bestFit="1" customWidth="1"/>
  </cols>
  <sheetData>
    <row r="1" spans="1:9" x14ac:dyDescent="0.3">
      <c r="A1" s="6"/>
      <c r="B1" s="5" t="s">
        <v>541</v>
      </c>
      <c r="C1" s="6"/>
      <c r="D1" s="6"/>
      <c r="E1" s="6"/>
      <c r="F1" s="6"/>
      <c r="G1" s="6"/>
      <c r="H1" s="6"/>
      <c r="I1" s="6"/>
    </row>
    <row r="2" spans="1:9" x14ac:dyDescent="0.3">
      <c r="A2" s="6"/>
      <c r="B2" s="6" t="s">
        <v>30</v>
      </c>
      <c r="C2" s="6"/>
      <c r="D2" s="6" t="s">
        <v>12</v>
      </c>
      <c r="E2" s="6"/>
      <c r="F2" s="6" t="s">
        <v>20</v>
      </c>
      <c r="G2" s="6"/>
      <c r="H2" s="6" t="s">
        <v>543</v>
      </c>
      <c r="I2" s="6" t="s">
        <v>544</v>
      </c>
    </row>
    <row r="3" spans="1:9" x14ac:dyDescent="0.3">
      <c r="A3" s="5" t="s">
        <v>540</v>
      </c>
      <c r="B3" s="6" t="s">
        <v>539</v>
      </c>
      <c r="C3" s="6" t="s">
        <v>545</v>
      </c>
      <c r="D3" s="6" t="s">
        <v>539</v>
      </c>
      <c r="E3" s="6" t="s">
        <v>545</v>
      </c>
      <c r="F3" s="6" t="s">
        <v>539</v>
      </c>
      <c r="G3" s="6" t="s">
        <v>545</v>
      </c>
      <c r="H3" s="6"/>
      <c r="I3" s="6"/>
    </row>
    <row r="4" spans="1:9" x14ac:dyDescent="0.3">
      <c r="A4" s="6">
        <v>1</v>
      </c>
      <c r="B4" s="7">
        <v>7</v>
      </c>
      <c r="C4" s="8">
        <v>0.41666666666666669</v>
      </c>
      <c r="D4" s="7">
        <v>7.3055555555555554</v>
      </c>
      <c r="E4" s="8">
        <v>0.47222222222222221</v>
      </c>
      <c r="F4" s="7">
        <v>8.0151515151515156</v>
      </c>
      <c r="G4" s="8">
        <v>0.42424242424242425</v>
      </c>
      <c r="H4" s="7">
        <v>7.6842105263157894</v>
      </c>
      <c r="I4" s="8">
        <v>0.43859649122807015</v>
      </c>
    </row>
    <row r="5" spans="1:9" x14ac:dyDescent="0.3">
      <c r="A5" s="6">
        <v>2</v>
      </c>
      <c r="B5" s="7">
        <v>8.3529411764705888</v>
      </c>
      <c r="C5" s="8">
        <v>0.58823529411764708</v>
      </c>
      <c r="D5" s="7">
        <v>9.4019607843137258</v>
      </c>
      <c r="E5" s="8">
        <v>0.53921568627450978</v>
      </c>
      <c r="F5" s="7">
        <v>8.4867256637168147</v>
      </c>
      <c r="G5" s="8">
        <v>0.4247787610619469</v>
      </c>
      <c r="H5" s="7">
        <v>8.8793103448275854</v>
      </c>
      <c r="I5" s="8">
        <v>0.48706896551724138</v>
      </c>
    </row>
    <row r="6" spans="1:9" x14ac:dyDescent="0.3">
      <c r="A6" s="6">
        <v>3</v>
      </c>
      <c r="B6" s="7">
        <v>3</v>
      </c>
      <c r="C6" s="8">
        <v>0.25</v>
      </c>
      <c r="D6" s="7">
        <v>5.1454545454545455</v>
      </c>
      <c r="E6" s="8">
        <v>0.45454545454545453</v>
      </c>
      <c r="F6" s="7">
        <v>5.5903614457831328</v>
      </c>
      <c r="G6" s="8">
        <v>0.38554216867469882</v>
      </c>
      <c r="H6" s="7">
        <v>5.162337662337662</v>
      </c>
      <c r="I6" s="8">
        <v>0.39610389610389612</v>
      </c>
    </row>
    <row r="7" spans="1:9" x14ac:dyDescent="0.3">
      <c r="A7" s="6" t="s">
        <v>538</v>
      </c>
      <c r="B7" s="7">
        <v>6.0888888888888886</v>
      </c>
      <c r="C7" s="8">
        <v>0.42222222222222222</v>
      </c>
      <c r="D7" s="7">
        <v>7.7979274611398965</v>
      </c>
      <c r="E7" s="8">
        <v>0.50259067357512954</v>
      </c>
      <c r="F7" s="7">
        <v>7.4503816793893129</v>
      </c>
      <c r="G7" s="8">
        <v>0.41221374045801529</v>
      </c>
      <c r="H7" s="7">
        <v>7.4619999999999997</v>
      </c>
      <c r="I7" s="8">
        <v>0.44800000000000001</v>
      </c>
    </row>
    <row r="11" spans="1:9" x14ac:dyDescent="0.3">
      <c r="A11" s="5" t="s">
        <v>542</v>
      </c>
      <c r="B11" s="6" t="s">
        <v>539</v>
      </c>
      <c r="C11" s="6" t="s">
        <v>546</v>
      </c>
    </row>
    <row r="12" spans="1:9" ht="15.6" x14ac:dyDescent="0.3">
      <c r="A12" s="6" t="s">
        <v>22</v>
      </c>
      <c r="B12" s="7">
        <v>7.7493403693931402</v>
      </c>
      <c r="C12" s="8">
        <v>0.44591029023746703</v>
      </c>
      <c r="F12" s="9" t="s">
        <v>532</v>
      </c>
      <c r="G12" s="10"/>
    </row>
    <row r="13" spans="1:9" ht="15.6" x14ac:dyDescent="0.3">
      <c r="A13" s="6" t="s">
        <v>14</v>
      </c>
      <c r="B13" s="7">
        <v>6.5619834710743801</v>
      </c>
      <c r="C13" s="8">
        <v>0.45454545454545453</v>
      </c>
      <c r="F13" s="9" t="s">
        <v>533</v>
      </c>
      <c r="G13" s="10">
        <f>COUNTA(WeRize_Assignme!E2:E501)</f>
        <v>500</v>
      </c>
    </row>
    <row r="14" spans="1:9" ht="15.6" x14ac:dyDescent="0.3">
      <c r="A14" s="6" t="s">
        <v>538</v>
      </c>
      <c r="B14" s="7">
        <v>7.4619999999999997</v>
      </c>
      <c r="C14" s="8">
        <v>0.44800000000000001</v>
      </c>
      <c r="F14" s="9" t="s">
        <v>534</v>
      </c>
      <c r="G14" s="10">
        <f>ROUND(AVERAGE(WeRize_Assignme!D2:D501),2)</f>
        <v>60521.120000000003</v>
      </c>
    </row>
    <row r="15" spans="1:9" ht="15.6" x14ac:dyDescent="0.3">
      <c r="A15" s="6"/>
      <c r="B15" s="6"/>
      <c r="C15" s="6"/>
      <c r="F15" s="9" t="s">
        <v>535</v>
      </c>
      <c r="G15" s="10">
        <f>AVERAGE(WeRize_Assignme!E2:E501)</f>
        <v>4955.2</v>
      </c>
    </row>
    <row r="16" spans="1:9" ht="15.6" x14ac:dyDescent="0.3">
      <c r="F16" s="9" t="s">
        <v>536</v>
      </c>
      <c r="G16" s="10">
        <f>ROUND(AVERAGE(WeRize_Assignme!H2:H501),2)</f>
        <v>7.46</v>
      </c>
    </row>
    <row r="17" spans="6:7" ht="15.6" x14ac:dyDescent="0.3">
      <c r="F17" s="9" t="s">
        <v>537</v>
      </c>
      <c r="G17" s="11">
        <f>AVERAGE(WeRize_Assignme!L2:L501)</f>
        <v>0.44800000000000001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FC876-C671-4A09-8F9F-101555960E33}">
  <dimension ref="A1:Q98"/>
  <sheetViews>
    <sheetView tabSelected="1" zoomScale="96" workbookViewId="0">
      <selection activeCell="O35" sqref="O35"/>
    </sheetView>
  </sheetViews>
  <sheetFormatPr defaultRowHeight="14.4" x14ac:dyDescent="0.3"/>
  <cols>
    <col min="1" max="1" width="19.44140625" style="6" bestFit="1" customWidth="1"/>
    <col min="2" max="2" width="14.88671875" style="6" customWidth="1"/>
    <col min="3" max="3" width="13.33203125" style="6" customWidth="1"/>
    <col min="4" max="4" width="11.5546875" style="6" customWidth="1"/>
    <col min="5" max="5" width="14.33203125" style="6" customWidth="1"/>
    <col min="6" max="6" width="11.21875" style="6" customWidth="1"/>
    <col min="7" max="7" width="10.88671875" style="6" customWidth="1"/>
    <col min="8" max="8" width="13" style="6" customWidth="1"/>
    <col min="9" max="9" width="11.21875" style="6" customWidth="1"/>
    <col min="10" max="10" width="11.77734375" style="6" customWidth="1"/>
    <col min="11" max="11" width="12.44140625" style="6" customWidth="1"/>
    <col min="12" max="12" width="8.109375" style="6" bestFit="1" customWidth="1"/>
    <col min="13" max="13" width="12.44140625" style="6" customWidth="1"/>
    <col min="14" max="14" width="11.21875" style="6" bestFit="1" customWidth="1"/>
    <col min="15" max="15" width="14.109375" style="6" bestFit="1" customWidth="1"/>
    <col min="16" max="16" width="7" style="6" bestFit="1" customWidth="1"/>
    <col min="17" max="17" width="11.21875" style="6" bestFit="1" customWidth="1"/>
    <col min="18" max="16384" width="8.88671875" style="6"/>
  </cols>
  <sheetData>
    <row r="1" spans="1:17" x14ac:dyDescent="0.3">
      <c r="A1" s="5" t="s">
        <v>547</v>
      </c>
      <c r="B1" s="6" t="s">
        <v>548</v>
      </c>
      <c r="C1" s="6" t="s">
        <v>549</v>
      </c>
      <c r="D1" s="6" t="s">
        <v>550</v>
      </c>
      <c r="E1" s="12" t="s">
        <v>552</v>
      </c>
      <c r="F1"/>
      <c r="G1"/>
      <c r="H1"/>
      <c r="I1"/>
      <c r="J1"/>
      <c r="K1"/>
      <c r="L1"/>
      <c r="M1"/>
    </row>
    <row r="2" spans="1:17" x14ac:dyDescent="0.3">
      <c r="A2" s="6" t="s">
        <v>13</v>
      </c>
      <c r="B2" s="7">
        <v>6</v>
      </c>
      <c r="C2" s="8">
        <v>0.45454545454545453</v>
      </c>
      <c r="D2" s="6">
        <v>77</v>
      </c>
      <c r="E2" s="8">
        <f>1-C2</f>
        <v>0.54545454545454541</v>
      </c>
      <c r="F2"/>
      <c r="G2"/>
      <c r="H2"/>
      <c r="I2"/>
      <c r="J2"/>
      <c r="K2"/>
      <c r="L2"/>
      <c r="M2"/>
    </row>
    <row r="3" spans="1:17" x14ac:dyDescent="0.3">
      <c r="A3" s="6" t="s">
        <v>17</v>
      </c>
      <c r="B3" s="7">
        <v>7.955223880597015</v>
      </c>
      <c r="C3" s="8">
        <v>0.38805970149253732</v>
      </c>
      <c r="D3" s="6">
        <v>134</v>
      </c>
      <c r="E3" s="8">
        <f t="shared" ref="E3:E6" si="0">1-C3</f>
        <v>0.61194029850746268</v>
      </c>
      <c r="F3"/>
      <c r="G3"/>
      <c r="H3"/>
      <c r="I3"/>
      <c r="J3"/>
      <c r="K3"/>
      <c r="L3"/>
      <c r="M3"/>
    </row>
    <row r="4" spans="1:17" x14ac:dyDescent="0.3">
      <c r="A4" s="6" t="s">
        <v>21</v>
      </c>
      <c r="B4" s="7">
        <v>7.208333333333333</v>
      </c>
      <c r="C4" s="8">
        <v>0.5</v>
      </c>
      <c r="D4" s="6">
        <v>144</v>
      </c>
      <c r="E4" s="8">
        <f t="shared" si="0"/>
        <v>0.5</v>
      </c>
      <c r="F4"/>
      <c r="G4"/>
      <c r="H4"/>
      <c r="I4"/>
      <c r="J4"/>
      <c r="K4"/>
      <c r="L4"/>
      <c r="M4"/>
    </row>
    <row r="5" spans="1:17" x14ac:dyDescent="0.3">
      <c r="A5" s="6" t="s">
        <v>28</v>
      </c>
      <c r="B5" s="7">
        <v>8.0344827586206904</v>
      </c>
      <c r="C5" s="8">
        <v>0.44827586206896552</v>
      </c>
      <c r="D5" s="6">
        <v>145</v>
      </c>
      <c r="E5" s="8">
        <f t="shared" si="0"/>
        <v>0.55172413793103448</v>
      </c>
      <c r="F5"/>
      <c r="G5"/>
      <c r="H5"/>
      <c r="I5"/>
      <c r="J5"/>
      <c r="K5"/>
      <c r="L5"/>
      <c r="M5"/>
    </row>
    <row r="6" spans="1:17" x14ac:dyDescent="0.3">
      <c r="A6" s="6" t="s">
        <v>538</v>
      </c>
      <c r="B6" s="7">
        <v>7.4619999999999997</v>
      </c>
      <c r="C6" s="8">
        <v>0.44800000000000001</v>
      </c>
      <c r="D6" s="6">
        <v>500</v>
      </c>
      <c r="E6" s="13">
        <f t="shared" si="0"/>
        <v>0.55200000000000005</v>
      </c>
      <c r="F6"/>
      <c r="G6"/>
      <c r="H6"/>
      <c r="I6"/>
      <c r="J6"/>
      <c r="K6"/>
      <c r="L6"/>
      <c r="M6"/>
    </row>
    <row r="7" spans="1:17" x14ac:dyDescent="0.3">
      <c r="A7"/>
      <c r="B7"/>
      <c r="C7"/>
      <c r="D7"/>
      <c r="E7"/>
      <c r="F7"/>
      <c r="G7"/>
      <c r="H7"/>
      <c r="I7"/>
      <c r="J7"/>
      <c r="K7"/>
      <c r="L7"/>
      <c r="M7"/>
    </row>
    <row r="8" spans="1:17" x14ac:dyDescent="0.3">
      <c r="F8"/>
      <c r="G8"/>
      <c r="H8"/>
      <c r="I8"/>
      <c r="J8"/>
      <c r="K8"/>
      <c r="L8"/>
      <c r="M8"/>
      <c r="O8"/>
      <c r="P8"/>
      <c r="Q8"/>
    </row>
    <row r="9" spans="1:17" x14ac:dyDescent="0.3">
      <c r="O9"/>
      <c r="P9"/>
      <c r="Q9"/>
    </row>
    <row r="10" spans="1:17" x14ac:dyDescent="0.3">
      <c r="A10" s="5" t="s">
        <v>548</v>
      </c>
      <c r="B10" s="5" t="s">
        <v>540</v>
      </c>
      <c r="F10"/>
      <c r="G10"/>
      <c r="H10"/>
      <c r="I10"/>
      <c r="O10"/>
      <c r="P10"/>
      <c r="Q10"/>
    </row>
    <row r="11" spans="1:17" x14ac:dyDescent="0.3">
      <c r="A11" s="5" t="s">
        <v>551</v>
      </c>
      <c r="B11" s="6">
        <v>1</v>
      </c>
      <c r="C11" s="6">
        <v>2</v>
      </c>
      <c r="D11" s="6">
        <v>3</v>
      </c>
      <c r="E11" s="6" t="s">
        <v>538</v>
      </c>
      <c r="F11"/>
      <c r="G11"/>
      <c r="H11"/>
      <c r="I11"/>
      <c r="O11"/>
      <c r="P11"/>
      <c r="Q11"/>
    </row>
    <row r="12" spans="1:17" x14ac:dyDescent="0.3">
      <c r="A12" s="6" t="s">
        <v>13</v>
      </c>
      <c r="B12" s="7">
        <v>6.0869565217391308</v>
      </c>
      <c r="C12" s="7">
        <v>4.7272727272727275</v>
      </c>
      <c r="D12" s="7">
        <v>7.9047619047619051</v>
      </c>
      <c r="E12" s="7">
        <v>6</v>
      </c>
      <c r="F12"/>
      <c r="G12"/>
      <c r="H12"/>
      <c r="I12"/>
      <c r="O12"/>
      <c r="P12"/>
      <c r="Q12"/>
    </row>
    <row r="13" spans="1:17" x14ac:dyDescent="0.3">
      <c r="A13" s="6" t="s">
        <v>17</v>
      </c>
      <c r="B13" s="7">
        <v>6.8571428571428568</v>
      </c>
      <c r="C13" s="7">
        <v>10.448275862068966</v>
      </c>
      <c r="D13" s="7">
        <v>5.583333333333333</v>
      </c>
      <c r="E13" s="7">
        <v>7.955223880597015</v>
      </c>
      <c r="F13"/>
      <c r="G13"/>
      <c r="H13"/>
      <c r="I13"/>
      <c r="O13"/>
      <c r="P13"/>
      <c r="Q13"/>
    </row>
    <row r="14" spans="1:17" x14ac:dyDescent="0.3">
      <c r="A14" s="6" t="s">
        <v>21</v>
      </c>
      <c r="B14" s="7">
        <v>9.96875</v>
      </c>
      <c r="C14" s="7">
        <v>8.9014084507042259</v>
      </c>
      <c r="D14" s="7">
        <v>2.1219512195121952</v>
      </c>
      <c r="E14" s="7">
        <v>7.208333333333333</v>
      </c>
      <c r="F14"/>
      <c r="G14"/>
      <c r="H14"/>
      <c r="I14"/>
      <c r="O14"/>
      <c r="P14"/>
      <c r="Q14"/>
    </row>
    <row r="15" spans="1:17" x14ac:dyDescent="0.3">
      <c r="A15" s="6" t="s">
        <v>28</v>
      </c>
      <c r="B15" s="7">
        <v>7.258064516129032</v>
      </c>
      <c r="C15" s="7">
        <v>9.5142857142857142</v>
      </c>
      <c r="D15" s="7">
        <v>6.2272727272727275</v>
      </c>
      <c r="E15" s="7">
        <v>8.0344827586206904</v>
      </c>
      <c r="F15"/>
      <c r="G15"/>
      <c r="H15"/>
      <c r="I15"/>
      <c r="O15"/>
      <c r="P15"/>
      <c r="Q15"/>
    </row>
    <row r="16" spans="1:17" x14ac:dyDescent="0.3">
      <c r="A16" s="6" t="s">
        <v>538</v>
      </c>
      <c r="B16" s="7">
        <v>7.6842105263157894</v>
      </c>
      <c r="C16" s="7">
        <v>8.8793103448275854</v>
      </c>
      <c r="D16" s="7">
        <v>5.162337662337662</v>
      </c>
      <c r="E16" s="7">
        <v>7.4619999999999997</v>
      </c>
      <c r="F16"/>
      <c r="G16"/>
      <c r="H16"/>
      <c r="I16"/>
      <c r="O16"/>
      <c r="P16"/>
      <c r="Q16"/>
    </row>
    <row r="17" spans="1:17" x14ac:dyDescent="0.3">
      <c r="F17"/>
      <c r="G17"/>
      <c r="H17"/>
      <c r="I17"/>
      <c r="O17"/>
      <c r="P17"/>
      <c r="Q17"/>
    </row>
    <row r="18" spans="1:17" x14ac:dyDescent="0.3">
      <c r="O18"/>
      <c r="P18"/>
      <c r="Q18"/>
    </row>
    <row r="19" spans="1:17" x14ac:dyDescent="0.3">
      <c r="A19" s="5" t="s">
        <v>549</v>
      </c>
      <c r="B19" s="5" t="s">
        <v>540</v>
      </c>
      <c r="O19"/>
      <c r="P19"/>
      <c r="Q19"/>
    </row>
    <row r="20" spans="1:17" x14ac:dyDescent="0.3">
      <c r="A20" s="5" t="s">
        <v>551</v>
      </c>
      <c r="B20" s="6">
        <v>1</v>
      </c>
      <c r="C20" s="6">
        <v>2</v>
      </c>
      <c r="D20" s="6">
        <v>3</v>
      </c>
      <c r="E20" s="6" t="s">
        <v>538</v>
      </c>
      <c r="O20"/>
      <c r="P20"/>
      <c r="Q20"/>
    </row>
    <row r="21" spans="1:17" x14ac:dyDescent="0.3">
      <c r="A21" s="6" t="s">
        <v>13</v>
      </c>
      <c r="B21" s="8">
        <v>0.60869565217391308</v>
      </c>
      <c r="C21" s="8">
        <v>0.36363636363636365</v>
      </c>
      <c r="D21" s="8">
        <v>0.42857142857142855</v>
      </c>
      <c r="E21" s="8">
        <v>0.45454545454545453</v>
      </c>
      <c r="O21"/>
      <c r="P21"/>
      <c r="Q21"/>
    </row>
    <row r="22" spans="1:17" x14ac:dyDescent="0.3">
      <c r="A22" s="6" t="s">
        <v>17</v>
      </c>
      <c r="B22" s="8">
        <v>0.35714285714285715</v>
      </c>
      <c r="C22" s="8">
        <v>0.44827586206896552</v>
      </c>
      <c r="D22" s="8">
        <v>0.33333333333333331</v>
      </c>
      <c r="E22" s="8">
        <v>0.38805970149253732</v>
      </c>
      <c r="O22"/>
      <c r="P22"/>
      <c r="Q22"/>
    </row>
    <row r="23" spans="1:17" x14ac:dyDescent="0.3">
      <c r="A23" s="6" t="s">
        <v>21</v>
      </c>
      <c r="B23" s="8">
        <v>0.46875</v>
      </c>
      <c r="C23" s="8">
        <v>0.56338028169014087</v>
      </c>
      <c r="D23" s="8">
        <v>0.41463414634146339</v>
      </c>
      <c r="E23" s="8">
        <v>0.5</v>
      </c>
      <c r="O23"/>
      <c r="P23"/>
      <c r="Q23"/>
    </row>
    <row r="24" spans="1:17" x14ac:dyDescent="0.3">
      <c r="A24" s="6" t="s">
        <v>28</v>
      </c>
      <c r="B24" s="8">
        <v>0.35483870967741937</v>
      </c>
      <c r="C24" s="8">
        <v>0.5</v>
      </c>
      <c r="D24" s="8">
        <v>0.43181818181818182</v>
      </c>
      <c r="E24" s="8">
        <v>0.44827586206896552</v>
      </c>
      <c r="O24"/>
      <c r="P24"/>
      <c r="Q24"/>
    </row>
    <row r="25" spans="1:17" x14ac:dyDescent="0.3">
      <c r="A25" s="6" t="s">
        <v>538</v>
      </c>
      <c r="B25" s="8">
        <v>0.43859649122807015</v>
      </c>
      <c r="C25" s="8">
        <v>0.48706896551724138</v>
      </c>
      <c r="D25" s="8">
        <v>0.39610389610389612</v>
      </c>
      <c r="E25" s="8">
        <v>0.44800000000000001</v>
      </c>
      <c r="O25"/>
      <c r="P25"/>
      <c r="Q25"/>
    </row>
    <row r="27" spans="1:17" x14ac:dyDescent="0.3">
      <c r="C27"/>
      <c r="D27"/>
      <c r="E27"/>
    </row>
    <row r="29" spans="1:17" x14ac:dyDescent="0.3">
      <c r="A29" s="22" t="s">
        <v>552</v>
      </c>
      <c r="B29" s="22" t="s">
        <v>540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/>
      <c r="P29"/>
      <c r="Q29"/>
    </row>
    <row r="30" spans="1:17" x14ac:dyDescent="0.3">
      <c r="A30" s="1"/>
      <c r="B30" s="1">
        <v>1</v>
      </c>
      <c r="C30" s="1"/>
      <c r="D30" s="1"/>
      <c r="E30" s="1" t="s">
        <v>596</v>
      </c>
      <c r="F30" s="1">
        <v>2</v>
      </c>
      <c r="G30" s="1"/>
      <c r="H30" s="1"/>
      <c r="I30" s="1" t="s">
        <v>597</v>
      </c>
      <c r="J30" s="1">
        <v>3</v>
      </c>
      <c r="K30" s="1"/>
      <c r="L30" s="1"/>
      <c r="M30" s="1" t="s">
        <v>598</v>
      </c>
      <c r="N30" s="1" t="s">
        <v>538</v>
      </c>
      <c r="O30"/>
      <c r="P30"/>
      <c r="Q30"/>
    </row>
    <row r="31" spans="1:17" x14ac:dyDescent="0.3">
      <c r="A31" s="22" t="s">
        <v>551</v>
      </c>
      <c r="B31" s="1" t="s">
        <v>30</v>
      </c>
      <c r="C31" s="1" t="s">
        <v>20</v>
      </c>
      <c r="D31" s="1" t="s">
        <v>12</v>
      </c>
      <c r="E31" s="1"/>
      <c r="F31" s="1" t="s">
        <v>30</v>
      </c>
      <c r="G31" s="1" t="s">
        <v>20</v>
      </c>
      <c r="H31" s="1" t="s">
        <v>12</v>
      </c>
      <c r="I31" s="1"/>
      <c r="J31" s="1" t="s">
        <v>30</v>
      </c>
      <c r="K31" s="1" t="s">
        <v>20</v>
      </c>
      <c r="L31" s="1" t="s">
        <v>12</v>
      </c>
      <c r="M31" s="1"/>
      <c r="N31" s="1"/>
      <c r="O31"/>
      <c r="P31"/>
      <c r="Q31"/>
    </row>
    <row r="32" spans="1:17" x14ac:dyDescent="0.3">
      <c r="A32" s="1" t="s">
        <v>13</v>
      </c>
      <c r="B32" s="4">
        <v>0.33333333333333331</v>
      </c>
      <c r="C32" s="4">
        <v>0.33333333333333331</v>
      </c>
      <c r="D32" s="4">
        <v>0.5</v>
      </c>
      <c r="E32" s="4">
        <v>0.39130434782608697</v>
      </c>
      <c r="F32" s="4">
        <v>0.5</v>
      </c>
      <c r="G32" s="4">
        <v>0.77777777777777779</v>
      </c>
      <c r="H32" s="4">
        <v>0.46153846153846156</v>
      </c>
      <c r="I32" s="4">
        <v>0.63636363636363635</v>
      </c>
      <c r="J32" s="4">
        <v>1</v>
      </c>
      <c r="K32" s="4">
        <v>0.54545454545454541</v>
      </c>
      <c r="L32" s="4">
        <v>0.42857142857142855</v>
      </c>
      <c r="M32" s="4">
        <v>0.5714285714285714</v>
      </c>
      <c r="N32" s="4">
        <v>0.54545454545454541</v>
      </c>
      <c r="O32"/>
      <c r="P32"/>
      <c r="Q32"/>
    </row>
    <row r="33" spans="1:17" x14ac:dyDescent="0.3">
      <c r="A33" s="1" t="s">
        <v>570</v>
      </c>
      <c r="B33" s="4"/>
      <c r="C33" s="4">
        <v>0.5</v>
      </c>
      <c r="D33" s="4">
        <v>0</v>
      </c>
      <c r="E33" s="4">
        <v>0.33333333333333331</v>
      </c>
      <c r="F33" s="4"/>
      <c r="G33" s="4">
        <v>0.66666666666666663</v>
      </c>
      <c r="H33" s="4">
        <v>0.33333333333333331</v>
      </c>
      <c r="I33" s="4">
        <v>0.5</v>
      </c>
      <c r="J33" s="4">
        <v>1</v>
      </c>
      <c r="K33" s="4">
        <v>1</v>
      </c>
      <c r="L33" s="4">
        <v>1</v>
      </c>
      <c r="M33" s="4">
        <v>1</v>
      </c>
      <c r="N33" s="4">
        <v>0.66666666666666663</v>
      </c>
      <c r="O33"/>
      <c r="P33"/>
      <c r="Q33"/>
    </row>
    <row r="34" spans="1:17" x14ac:dyDescent="0.3">
      <c r="A34" s="1" t="s">
        <v>571</v>
      </c>
      <c r="B34" s="4">
        <v>0</v>
      </c>
      <c r="C34" s="4">
        <v>0.6</v>
      </c>
      <c r="D34" s="4">
        <v>0.5</v>
      </c>
      <c r="E34" s="4">
        <v>0.5</v>
      </c>
      <c r="F34" s="4"/>
      <c r="G34" s="4">
        <v>1</v>
      </c>
      <c r="H34" s="4">
        <v>0.5</v>
      </c>
      <c r="I34" s="4">
        <v>0.8571428571428571</v>
      </c>
      <c r="J34" s="4">
        <v>1</v>
      </c>
      <c r="K34" s="4">
        <v>0.5</v>
      </c>
      <c r="L34" s="4">
        <v>0</v>
      </c>
      <c r="M34" s="4">
        <v>0.5</v>
      </c>
      <c r="N34" s="4">
        <v>0.61904761904761907</v>
      </c>
      <c r="O34"/>
      <c r="P34"/>
      <c r="Q34"/>
    </row>
    <row r="35" spans="1:17" x14ac:dyDescent="0.3">
      <c r="A35" s="1" t="s">
        <v>572</v>
      </c>
      <c r="B35" s="4"/>
      <c r="C35" s="4">
        <v>0</v>
      </c>
      <c r="D35" s="4">
        <v>1</v>
      </c>
      <c r="E35" s="4">
        <v>0.5</v>
      </c>
      <c r="F35" s="4">
        <v>0.5</v>
      </c>
      <c r="G35" s="4">
        <v>0.75</v>
      </c>
      <c r="H35" s="4">
        <v>1</v>
      </c>
      <c r="I35" s="4">
        <v>0.75</v>
      </c>
      <c r="J35" s="4"/>
      <c r="K35" s="4">
        <v>0.2</v>
      </c>
      <c r="L35" s="4">
        <v>0</v>
      </c>
      <c r="M35" s="4">
        <v>0.14285714285714285</v>
      </c>
      <c r="N35" s="4">
        <v>0.52173913043478259</v>
      </c>
      <c r="O35"/>
      <c r="P35"/>
      <c r="Q35"/>
    </row>
    <row r="36" spans="1:17" x14ac:dyDescent="0.3">
      <c r="A36" s="1" t="s">
        <v>573</v>
      </c>
      <c r="B36" s="4">
        <v>0.5</v>
      </c>
      <c r="C36" s="4">
        <v>0</v>
      </c>
      <c r="D36" s="4">
        <v>0</v>
      </c>
      <c r="E36" s="4">
        <v>0.16666666666666666</v>
      </c>
      <c r="F36" s="4"/>
      <c r="G36" s="4">
        <v>0.5</v>
      </c>
      <c r="H36" s="4">
        <v>0.33333333333333331</v>
      </c>
      <c r="I36" s="4">
        <v>0.375</v>
      </c>
      <c r="J36" s="4">
        <v>1</v>
      </c>
      <c r="K36" s="4">
        <v>1</v>
      </c>
      <c r="L36" s="4">
        <v>0</v>
      </c>
      <c r="M36" s="4">
        <v>0.75</v>
      </c>
      <c r="N36" s="4">
        <v>0.3888888888888889</v>
      </c>
      <c r="O36"/>
      <c r="P36"/>
      <c r="Q36"/>
    </row>
    <row r="37" spans="1:17" x14ac:dyDescent="0.3">
      <c r="A37" s="1" t="s">
        <v>17</v>
      </c>
      <c r="B37" s="4">
        <v>1</v>
      </c>
      <c r="C37" s="4">
        <v>0.76470588235294112</v>
      </c>
      <c r="D37" s="4">
        <v>0.33333333333333331</v>
      </c>
      <c r="E37" s="4">
        <v>0.6428571428571429</v>
      </c>
      <c r="F37" s="4">
        <v>0.33333333333333331</v>
      </c>
      <c r="G37" s="4">
        <v>0.54545454545454541</v>
      </c>
      <c r="H37" s="4">
        <v>0.59090909090909094</v>
      </c>
      <c r="I37" s="4">
        <v>0.55172413793103448</v>
      </c>
      <c r="J37" s="4">
        <v>0.66666666666666663</v>
      </c>
      <c r="K37" s="4">
        <v>0.66666666666666663</v>
      </c>
      <c r="L37" s="4">
        <v>0.66666666666666663</v>
      </c>
      <c r="M37" s="4">
        <v>0.66666666666666663</v>
      </c>
      <c r="N37" s="4">
        <v>0.61194029850746268</v>
      </c>
    </row>
    <row r="38" spans="1:17" x14ac:dyDescent="0.3">
      <c r="A38" s="1" t="s">
        <v>570</v>
      </c>
      <c r="B38" s="4"/>
      <c r="C38" s="4">
        <v>0.66666666666666663</v>
      </c>
      <c r="D38" s="4">
        <v>0.5</v>
      </c>
      <c r="E38" s="4">
        <v>0.6</v>
      </c>
      <c r="F38" s="4"/>
      <c r="G38" s="4">
        <v>0.58333333333333337</v>
      </c>
      <c r="H38" s="4">
        <v>0.4</v>
      </c>
      <c r="I38" s="4">
        <v>0.52941176470588236</v>
      </c>
      <c r="J38" s="4"/>
      <c r="K38" s="4">
        <v>0.6</v>
      </c>
      <c r="L38" s="4">
        <v>0.75</v>
      </c>
      <c r="M38" s="4">
        <v>0.69230769230769229</v>
      </c>
      <c r="N38" s="4">
        <v>0.6</v>
      </c>
    </row>
    <row r="39" spans="1:17" x14ac:dyDescent="0.3">
      <c r="A39" s="1" t="s">
        <v>571</v>
      </c>
      <c r="B39" s="4"/>
      <c r="C39" s="4">
        <v>0.6</v>
      </c>
      <c r="D39" s="4">
        <v>0.5</v>
      </c>
      <c r="E39" s="4">
        <v>0.5714285714285714</v>
      </c>
      <c r="F39" s="4">
        <v>1</v>
      </c>
      <c r="G39" s="4">
        <v>0.375</v>
      </c>
      <c r="H39" s="4">
        <v>0.55555555555555558</v>
      </c>
      <c r="I39" s="4">
        <v>0.5</v>
      </c>
      <c r="J39" s="4">
        <v>1</v>
      </c>
      <c r="K39" s="4">
        <v>0.63636363636363635</v>
      </c>
      <c r="L39" s="4">
        <v>0.6</v>
      </c>
      <c r="M39" s="4">
        <v>0.6470588235294118</v>
      </c>
      <c r="N39" s="4">
        <v>0.5714285714285714</v>
      </c>
    </row>
    <row r="40" spans="1:17" x14ac:dyDescent="0.3">
      <c r="A40" s="1" t="s">
        <v>572</v>
      </c>
      <c r="B40" s="4"/>
      <c r="C40" s="4">
        <v>1</v>
      </c>
      <c r="D40" s="4">
        <v>0.25</v>
      </c>
      <c r="E40" s="4">
        <v>0.66666666666666663</v>
      </c>
      <c r="F40" s="4">
        <v>0</v>
      </c>
      <c r="G40" s="4">
        <v>0.6</v>
      </c>
      <c r="H40" s="4">
        <v>0.5</v>
      </c>
      <c r="I40" s="4">
        <v>0.53846153846153844</v>
      </c>
      <c r="J40" s="4">
        <v>1</v>
      </c>
      <c r="K40" s="4">
        <v>0.75</v>
      </c>
      <c r="L40" s="4">
        <v>0.5</v>
      </c>
      <c r="M40" s="4">
        <v>0.69230769230769229</v>
      </c>
      <c r="N40" s="4">
        <v>0.62857142857142856</v>
      </c>
    </row>
    <row r="41" spans="1:17" x14ac:dyDescent="0.3">
      <c r="A41" s="1" t="s">
        <v>573</v>
      </c>
      <c r="B41" s="4">
        <v>1</v>
      </c>
      <c r="C41" s="4">
        <v>0.75</v>
      </c>
      <c r="D41" s="4">
        <v>0</v>
      </c>
      <c r="E41" s="4">
        <v>0.7142857142857143</v>
      </c>
      <c r="F41" s="4">
        <v>0</v>
      </c>
      <c r="G41" s="4">
        <v>0.66666666666666663</v>
      </c>
      <c r="H41" s="4">
        <v>0.83333333333333337</v>
      </c>
      <c r="I41" s="4">
        <v>0.7</v>
      </c>
      <c r="J41" s="4">
        <v>0</v>
      </c>
      <c r="K41" s="4">
        <v>0.66666666666666663</v>
      </c>
      <c r="L41" s="4">
        <v>1</v>
      </c>
      <c r="M41" s="4">
        <v>0.6</v>
      </c>
      <c r="N41" s="4">
        <v>0.68181818181818177</v>
      </c>
    </row>
    <row r="42" spans="1:17" x14ac:dyDescent="0.3">
      <c r="A42" s="1" t="s">
        <v>21</v>
      </c>
      <c r="B42" s="4">
        <v>0.75</v>
      </c>
      <c r="C42" s="4">
        <v>0.4375</v>
      </c>
      <c r="D42" s="4">
        <v>0.58333333333333337</v>
      </c>
      <c r="E42" s="4">
        <v>0.53125</v>
      </c>
      <c r="F42" s="4">
        <v>0.2857142857142857</v>
      </c>
      <c r="G42" s="4">
        <v>0.51515151515151514</v>
      </c>
      <c r="H42" s="4">
        <v>0.38709677419354838</v>
      </c>
      <c r="I42" s="4">
        <v>0.43661971830985913</v>
      </c>
      <c r="J42" s="4">
        <v>1</v>
      </c>
      <c r="K42" s="4">
        <v>0.625</v>
      </c>
      <c r="L42" s="4">
        <v>0.42857142857142855</v>
      </c>
      <c r="M42" s="4">
        <v>0.58536585365853655</v>
      </c>
      <c r="N42" s="4">
        <v>0.5</v>
      </c>
    </row>
    <row r="43" spans="1:17" x14ac:dyDescent="0.3">
      <c r="A43" s="1" t="s">
        <v>570</v>
      </c>
      <c r="B43" s="4">
        <v>1</v>
      </c>
      <c r="C43" s="4">
        <v>0.5</v>
      </c>
      <c r="D43" s="4">
        <v>0.33333333333333331</v>
      </c>
      <c r="E43" s="4">
        <v>0.55555555555555558</v>
      </c>
      <c r="F43" s="4">
        <v>0</v>
      </c>
      <c r="G43" s="4">
        <v>0.375</v>
      </c>
      <c r="H43" s="4">
        <v>0.41666666666666669</v>
      </c>
      <c r="I43" s="4">
        <v>0.38095238095238093</v>
      </c>
      <c r="J43" s="4">
        <v>1</v>
      </c>
      <c r="K43" s="4">
        <v>1</v>
      </c>
      <c r="L43" s="4">
        <v>0.33333333333333331</v>
      </c>
      <c r="M43" s="4">
        <v>0.69230769230769229</v>
      </c>
      <c r="N43" s="4">
        <v>0.51162790697674421</v>
      </c>
    </row>
    <row r="44" spans="1:17" x14ac:dyDescent="0.3">
      <c r="A44" s="1" t="s">
        <v>571</v>
      </c>
      <c r="B44" s="4">
        <v>1</v>
      </c>
      <c r="C44" s="4">
        <v>0.5</v>
      </c>
      <c r="D44" s="4">
        <v>0.33333333333333331</v>
      </c>
      <c r="E44" s="4">
        <v>0.5</v>
      </c>
      <c r="F44" s="4">
        <v>0.33333333333333331</v>
      </c>
      <c r="G44" s="4">
        <v>0.6</v>
      </c>
      <c r="H44" s="4">
        <v>0.5</v>
      </c>
      <c r="I44" s="4">
        <v>0.5</v>
      </c>
      <c r="J44" s="4"/>
      <c r="K44" s="4">
        <v>0.33333333333333331</v>
      </c>
      <c r="L44" s="4"/>
      <c r="M44" s="4">
        <v>0.33333333333333331</v>
      </c>
      <c r="N44" s="4">
        <v>0.46666666666666667</v>
      </c>
    </row>
    <row r="45" spans="1:17" x14ac:dyDescent="0.3">
      <c r="A45" s="1" t="s">
        <v>572</v>
      </c>
      <c r="B45" s="4"/>
      <c r="C45" s="4">
        <v>0.25</v>
      </c>
      <c r="D45" s="4">
        <v>0.66666666666666663</v>
      </c>
      <c r="E45" s="4">
        <v>0.42857142857142855</v>
      </c>
      <c r="F45" s="4">
        <v>0</v>
      </c>
      <c r="G45" s="4">
        <v>0.44444444444444442</v>
      </c>
      <c r="H45" s="4">
        <v>0.2</v>
      </c>
      <c r="I45" s="4">
        <v>0.3125</v>
      </c>
      <c r="J45" s="4">
        <v>1</v>
      </c>
      <c r="K45" s="4">
        <v>0.66666666666666663</v>
      </c>
      <c r="L45" s="4">
        <v>0.5</v>
      </c>
      <c r="M45" s="4">
        <v>0.66666666666666663</v>
      </c>
      <c r="N45" s="4">
        <v>0.4375</v>
      </c>
    </row>
    <row r="46" spans="1:17" x14ac:dyDescent="0.3">
      <c r="A46" s="1" t="s">
        <v>573</v>
      </c>
      <c r="B46" s="4">
        <v>0</v>
      </c>
      <c r="C46" s="4">
        <v>0.5</v>
      </c>
      <c r="D46" s="4">
        <v>1</v>
      </c>
      <c r="E46" s="4">
        <v>0.625</v>
      </c>
      <c r="F46" s="4">
        <v>1</v>
      </c>
      <c r="G46" s="4">
        <v>0.63636363636363635</v>
      </c>
      <c r="H46" s="4">
        <v>0.33333333333333331</v>
      </c>
      <c r="I46" s="4">
        <v>0.55555555555555558</v>
      </c>
      <c r="J46" s="4">
        <v>1</v>
      </c>
      <c r="K46" s="4">
        <v>0.5</v>
      </c>
      <c r="L46" s="4">
        <v>0.5</v>
      </c>
      <c r="M46" s="4">
        <v>0.53846153846153844</v>
      </c>
      <c r="N46" s="4">
        <v>0.5641025641025641</v>
      </c>
    </row>
    <row r="47" spans="1:17" x14ac:dyDescent="0.3">
      <c r="A47" s="1" t="s">
        <v>28</v>
      </c>
      <c r="B47" s="4">
        <v>0.33333333333333331</v>
      </c>
      <c r="C47" s="4">
        <v>0.66666666666666663</v>
      </c>
      <c r="D47" s="4">
        <v>0.7142857142857143</v>
      </c>
      <c r="E47" s="4">
        <v>0.64516129032258063</v>
      </c>
      <c r="F47" s="4">
        <v>0.6</v>
      </c>
      <c r="G47" s="4">
        <v>0.55172413793103448</v>
      </c>
      <c r="H47" s="4">
        <v>0.44444444444444442</v>
      </c>
      <c r="I47" s="4">
        <v>0.5</v>
      </c>
      <c r="J47" s="4">
        <v>0.5714285714285714</v>
      </c>
      <c r="K47" s="4">
        <v>0.5714285714285714</v>
      </c>
      <c r="L47" s="4">
        <v>0.5625</v>
      </c>
      <c r="M47" s="4">
        <v>0.56818181818181823</v>
      </c>
      <c r="N47" s="4">
        <v>0.55172413793103448</v>
      </c>
    </row>
    <row r="48" spans="1:17" x14ac:dyDescent="0.3">
      <c r="A48" s="1" t="s">
        <v>570</v>
      </c>
      <c r="B48" s="4"/>
      <c r="C48" s="4">
        <v>0</v>
      </c>
      <c r="D48" s="4"/>
      <c r="E48" s="4">
        <v>0</v>
      </c>
      <c r="F48" s="4">
        <v>1</v>
      </c>
      <c r="G48" s="4">
        <v>0.44444444444444442</v>
      </c>
      <c r="H48" s="4">
        <v>0.5</v>
      </c>
      <c r="I48" s="4">
        <v>0.52631578947368418</v>
      </c>
      <c r="J48" s="4">
        <v>0.75</v>
      </c>
      <c r="K48" s="4">
        <v>0.75</v>
      </c>
      <c r="L48" s="4">
        <v>0.33333333333333331</v>
      </c>
      <c r="M48" s="4">
        <v>0.63636363636363635</v>
      </c>
      <c r="N48" s="4">
        <v>0.53125</v>
      </c>
    </row>
    <row r="49" spans="1:14" x14ac:dyDescent="0.3">
      <c r="A49" s="1" t="s">
        <v>571</v>
      </c>
      <c r="B49" s="4">
        <v>0.5</v>
      </c>
      <c r="C49" s="4">
        <v>0.42857142857142855</v>
      </c>
      <c r="D49" s="4">
        <v>1</v>
      </c>
      <c r="E49" s="4">
        <v>0.5</v>
      </c>
      <c r="F49" s="4"/>
      <c r="G49" s="4">
        <v>0.75</v>
      </c>
      <c r="H49" s="4">
        <v>0.25</v>
      </c>
      <c r="I49" s="4">
        <v>0.41666666666666669</v>
      </c>
      <c r="J49" s="4"/>
      <c r="K49" s="4">
        <v>0.5</v>
      </c>
      <c r="L49" s="4">
        <v>0.5</v>
      </c>
      <c r="M49" s="4">
        <v>0.5</v>
      </c>
      <c r="N49" s="4">
        <v>0.46875</v>
      </c>
    </row>
    <row r="50" spans="1:14" x14ac:dyDescent="0.3">
      <c r="A50" s="1" t="s">
        <v>572</v>
      </c>
      <c r="B50" s="4"/>
      <c r="C50" s="4">
        <v>0.75</v>
      </c>
      <c r="D50" s="4">
        <v>0.33333333333333331</v>
      </c>
      <c r="E50" s="4">
        <v>0.5714285714285714</v>
      </c>
      <c r="F50" s="4">
        <v>0.5</v>
      </c>
      <c r="G50" s="4">
        <v>0.5</v>
      </c>
      <c r="H50" s="4">
        <v>0.66666666666666663</v>
      </c>
      <c r="I50" s="4">
        <v>0.57894736842105265</v>
      </c>
      <c r="J50" s="4">
        <v>1</v>
      </c>
      <c r="K50" s="4">
        <v>0.6</v>
      </c>
      <c r="L50" s="4">
        <v>0.66666666666666663</v>
      </c>
      <c r="M50" s="4">
        <v>0.66666666666666663</v>
      </c>
      <c r="N50" s="4">
        <v>0.6</v>
      </c>
    </row>
    <row r="51" spans="1:14" x14ac:dyDescent="0.3">
      <c r="A51" s="1" t="s">
        <v>573</v>
      </c>
      <c r="B51" s="4">
        <v>0</v>
      </c>
      <c r="C51" s="4">
        <v>1</v>
      </c>
      <c r="D51" s="4">
        <v>1</v>
      </c>
      <c r="E51" s="4">
        <v>0.91666666666666663</v>
      </c>
      <c r="F51" s="4">
        <v>0</v>
      </c>
      <c r="G51" s="4">
        <v>0.625</v>
      </c>
      <c r="H51" s="4">
        <v>0.36363636363636365</v>
      </c>
      <c r="I51" s="4">
        <v>0.45</v>
      </c>
      <c r="J51" s="4">
        <v>0</v>
      </c>
      <c r="K51" s="4">
        <v>0.5</v>
      </c>
      <c r="L51" s="4">
        <v>0.75</v>
      </c>
      <c r="M51" s="4">
        <v>0.5</v>
      </c>
      <c r="N51" s="4">
        <v>0.58695652173913049</v>
      </c>
    </row>
    <row r="52" spans="1:14" x14ac:dyDescent="0.3">
      <c r="A52" s="1" t="s">
        <v>538</v>
      </c>
      <c r="B52" s="4">
        <v>0.58333333333333337</v>
      </c>
      <c r="C52" s="4">
        <v>0.5757575757575758</v>
      </c>
      <c r="D52" s="4">
        <v>0.52777777777777779</v>
      </c>
      <c r="E52" s="4">
        <v>0.56140350877192979</v>
      </c>
      <c r="F52" s="4">
        <v>0.41176470588235292</v>
      </c>
      <c r="G52" s="4">
        <v>0.5752212389380531</v>
      </c>
      <c r="H52" s="4">
        <v>0.46078431372549017</v>
      </c>
      <c r="I52" s="4">
        <v>0.51293103448275867</v>
      </c>
      <c r="J52" s="4">
        <v>0.75</v>
      </c>
      <c r="K52" s="4">
        <v>0.61445783132530118</v>
      </c>
      <c r="L52" s="4">
        <v>0.54545454545454541</v>
      </c>
      <c r="M52" s="4">
        <v>0.60389610389610393</v>
      </c>
      <c r="N52" s="4">
        <v>0.55200000000000005</v>
      </c>
    </row>
    <row r="53" spans="1:14" x14ac:dyDescent="0.3">
      <c r="A53"/>
      <c r="B53"/>
      <c r="C53"/>
      <c r="D53"/>
      <c r="E53"/>
    </row>
    <row r="54" spans="1:14" x14ac:dyDescent="0.3">
      <c r="A54"/>
      <c r="B54"/>
      <c r="C54"/>
      <c r="D54"/>
      <c r="E54"/>
    </row>
    <row r="55" spans="1:14" x14ac:dyDescent="0.3">
      <c r="A55"/>
      <c r="B55"/>
      <c r="C55"/>
      <c r="D55"/>
      <c r="E55"/>
    </row>
    <row r="56" spans="1:14" x14ac:dyDescent="0.3">
      <c r="A56"/>
      <c r="B56"/>
      <c r="C56"/>
      <c r="D56"/>
      <c r="E56"/>
    </row>
    <row r="57" spans="1:14" x14ac:dyDescent="0.3">
      <c r="A57"/>
      <c r="B57"/>
      <c r="C57"/>
      <c r="D57"/>
      <c r="E57"/>
    </row>
    <row r="58" spans="1:14" x14ac:dyDescent="0.3">
      <c r="A58"/>
      <c r="B58"/>
      <c r="C58"/>
      <c r="D58"/>
      <c r="E58"/>
    </row>
    <row r="59" spans="1:14" x14ac:dyDescent="0.3">
      <c r="A59"/>
      <c r="B59"/>
      <c r="C59"/>
      <c r="D59"/>
      <c r="E59"/>
    </row>
    <row r="60" spans="1:14" x14ac:dyDescent="0.3">
      <c r="A60"/>
      <c r="B60"/>
      <c r="C60"/>
      <c r="D60"/>
      <c r="E60"/>
    </row>
    <row r="61" spans="1:14" x14ac:dyDescent="0.3">
      <c r="A61"/>
      <c r="B61"/>
      <c r="C61"/>
      <c r="D61"/>
      <c r="E61"/>
    </row>
    <row r="62" spans="1:14" x14ac:dyDescent="0.3">
      <c r="A62"/>
      <c r="B62"/>
      <c r="C62"/>
      <c r="D62"/>
      <c r="E62"/>
    </row>
    <row r="63" spans="1:14" x14ac:dyDescent="0.3">
      <c r="A63"/>
      <c r="B63"/>
      <c r="C63"/>
      <c r="D63"/>
      <c r="E63"/>
    </row>
    <row r="64" spans="1:14" x14ac:dyDescent="0.3">
      <c r="A64"/>
      <c r="B64"/>
      <c r="C64"/>
      <c r="D64"/>
      <c r="E64"/>
    </row>
    <row r="65" spans="1:5" x14ac:dyDescent="0.3">
      <c r="A65"/>
      <c r="B65"/>
      <c r="C65"/>
      <c r="D65"/>
      <c r="E65"/>
    </row>
    <row r="66" spans="1:5" x14ac:dyDescent="0.3">
      <c r="A66"/>
      <c r="B66"/>
      <c r="C66"/>
      <c r="D66"/>
      <c r="E66"/>
    </row>
    <row r="67" spans="1:5" x14ac:dyDescent="0.3">
      <c r="A67"/>
      <c r="B67"/>
      <c r="C67"/>
      <c r="D67"/>
      <c r="E67"/>
    </row>
    <row r="68" spans="1:5" x14ac:dyDescent="0.3">
      <c r="A68"/>
      <c r="B68"/>
      <c r="C68"/>
      <c r="D68"/>
      <c r="E68"/>
    </row>
    <row r="69" spans="1:5" x14ac:dyDescent="0.3">
      <c r="A69"/>
      <c r="B69"/>
      <c r="C69"/>
      <c r="D69"/>
      <c r="E69"/>
    </row>
    <row r="70" spans="1:5" x14ac:dyDescent="0.3">
      <c r="A70"/>
      <c r="B70"/>
      <c r="C70"/>
      <c r="D70"/>
      <c r="E70"/>
    </row>
    <row r="71" spans="1:5" x14ac:dyDescent="0.3">
      <c r="A71"/>
      <c r="B71"/>
      <c r="C71"/>
      <c r="D71"/>
      <c r="E71"/>
    </row>
    <row r="72" spans="1:5" x14ac:dyDescent="0.3">
      <c r="A72"/>
      <c r="B72"/>
      <c r="C72"/>
      <c r="D72"/>
      <c r="E72"/>
    </row>
    <row r="73" spans="1:5" x14ac:dyDescent="0.3">
      <c r="A73"/>
      <c r="B73"/>
      <c r="C73"/>
      <c r="D73"/>
      <c r="E73"/>
    </row>
    <row r="74" spans="1:5" x14ac:dyDescent="0.3">
      <c r="A74"/>
      <c r="B74"/>
      <c r="C74"/>
      <c r="D74"/>
      <c r="E74"/>
    </row>
    <row r="75" spans="1:5" x14ac:dyDescent="0.3">
      <c r="A75"/>
      <c r="B75"/>
      <c r="C75"/>
      <c r="D75"/>
      <c r="E75"/>
    </row>
    <row r="76" spans="1:5" x14ac:dyDescent="0.3">
      <c r="A76"/>
      <c r="B76"/>
      <c r="C76"/>
      <c r="D76"/>
      <c r="E76"/>
    </row>
    <row r="77" spans="1:5" x14ac:dyDescent="0.3">
      <c r="A77"/>
      <c r="B77"/>
      <c r="C77"/>
      <c r="D77"/>
      <c r="E77"/>
    </row>
    <row r="78" spans="1:5" x14ac:dyDescent="0.3">
      <c r="A78"/>
      <c r="B78"/>
      <c r="C78"/>
      <c r="D78"/>
      <c r="E78"/>
    </row>
    <row r="79" spans="1:5" x14ac:dyDescent="0.3">
      <c r="A79"/>
      <c r="B79"/>
      <c r="C79"/>
      <c r="D79"/>
      <c r="E79"/>
    </row>
    <row r="80" spans="1:5" x14ac:dyDescent="0.3">
      <c r="A80"/>
      <c r="B80"/>
      <c r="C80"/>
      <c r="D80"/>
      <c r="E80"/>
    </row>
    <row r="81" spans="1:5" x14ac:dyDescent="0.3">
      <c r="A81"/>
      <c r="B81"/>
      <c r="C81"/>
      <c r="D81"/>
      <c r="E81"/>
    </row>
    <row r="82" spans="1:5" x14ac:dyDescent="0.3">
      <c r="A82"/>
      <c r="B82"/>
      <c r="C82"/>
      <c r="D82"/>
      <c r="E82"/>
    </row>
    <row r="83" spans="1:5" x14ac:dyDescent="0.3">
      <c r="A83"/>
      <c r="B83"/>
      <c r="C83"/>
      <c r="D83"/>
      <c r="E83"/>
    </row>
    <row r="84" spans="1:5" x14ac:dyDescent="0.3">
      <c r="A84"/>
      <c r="B84"/>
      <c r="C84"/>
      <c r="D84"/>
      <c r="E84"/>
    </row>
    <row r="85" spans="1:5" x14ac:dyDescent="0.3">
      <c r="A85"/>
      <c r="B85"/>
      <c r="C85"/>
      <c r="D85"/>
      <c r="E85"/>
    </row>
    <row r="86" spans="1:5" x14ac:dyDescent="0.3">
      <c r="A86"/>
      <c r="B86"/>
      <c r="C86"/>
      <c r="D86"/>
      <c r="E86"/>
    </row>
    <row r="87" spans="1:5" x14ac:dyDescent="0.3">
      <c r="A87"/>
      <c r="B87"/>
      <c r="C87"/>
      <c r="D87"/>
      <c r="E87"/>
    </row>
    <row r="88" spans="1:5" x14ac:dyDescent="0.3">
      <c r="A88"/>
      <c r="B88"/>
      <c r="C88"/>
      <c r="D88"/>
      <c r="E88"/>
    </row>
    <row r="89" spans="1:5" x14ac:dyDescent="0.3">
      <c r="A89"/>
      <c r="B89"/>
      <c r="C89"/>
      <c r="D89"/>
      <c r="E89"/>
    </row>
    <row r="90" spans="1:5" x14ac:dyDescent="0.3">
      <c r="A90"/>
      <c r="B90"/>
      <c r="C90"/>
      <c r="D90"/>
      <c r="E90"/>
    </row>
    <row r="91" spans="1:5" x14ac:dyDescent="0.3">
      <c r="A91"/>
      <c r="B91"/>
      <c r="C91"/>
      <c r="D91"/>
      <c r="E91"/>
    </row>
    <row r="92" spans="1:5" x14ac:dyDescent="0.3">
      <c r="A92"/>
      <c r="B92"/>
      <c r="C92"/>
      <c r="D92"/>
      <c r="E92"/>
    </row>
    <row r="93" spans="1:5" x14ac:dyDescent="0.3">
      <c r="A93"/>
      <c r="B93"/>
      <c r="C93"/>
      <c r="D93"/>
      <c r="E93"/>
    </row>
    <row r="94" spans="1:5" x14ac:dyDescent="0.3">
      <c r="A94"/>
      <c r="B94"/>
      <c r="C94"/>
      <c r="D94"/>
      <c r="E94"/>
    </row>
    <row r="95" spans="1:5" x14ac:dyDescent="0.3">
      <c r="A95"/>
      <c r="B95"/>
      <c r="C95"/>
      <c r="D95"/>
      <c r="E95"/>
    </row>
    <row r="96" spans="1:5" x14ac:dyDescent="0.3">
      <c r="A96"/>
      <c r="B96"/>
      <c r="C96"/>
      <c r="D96"/>
      <c r="E96"/>
    </row>
    <row r="97" spans="1:5" x14ac:dyDescent="0.3">
      <c r="A97"/>
      <c r="B97"/>
      <c r="C97"/>
      <c r="D97"/>
      <c r="E97"/>
    </row>
    <row r="98" spans="1:5" x14ac:dyDescent="0.3">
      <c r="A98"/>
      <c r="B98"/>
      <c r="C98"/>
      <c r="D98"/>
      <c r="E98"/>
    </row>
  </sheetData>
  <pageMargins left="0.7" right="0.7" top="0.75" bottom="0.75" header="0.3" footer="0.3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32E38-9291-4D5A-B8A4-27E6B360AD3C}">
  <dimension ref="A1:N24"/>
  <sheetViews>
    <sheetView topLeftCell="A4" workbookViewId="0">
      <selection activeCell="H8" sqref="H8"/>
    </sheetView>
  </sheetViews>
  <sheetFormatPr defaultRowHeight="14.4" x14ac:dyDescent="0.3"/>
  <cols>
    <col min="1" max="1" width="16.77734375" style="6" bestFit="1" customWidth="1"/>
    <col min="2" max="2" width="12.44140625" style="6" bestFit="1" customWidth="1"/>
    <col min="3" max="3" width="11.6640625" style="6" bestFit="1" customWidth="1"/>
    <col min="4" max="4" width="9.33203125" style="6" bestFit="1" customWidth="1"/>
    <col min="5" max="5" width="21.5546875" style="6" bestFit="1" customWidth="1"/>
    <col min="6" max="6" width="9.88671875" style="6" bestFit="1" customWidth="1"/>
    <col min="7" max="7" width="21.77734375" style="6" bestFit="1" customWidth="1"/>
    <col min="8" max="9" width="8.88671875" style="6"/>
    <col min="10" max="10" width="23.5546875" style="6" bestFit="1" customWidth="1"/>
    <col min="11" max="11" width="15.5546875" style="6" bestFit="1" customWidth="1"/>
    <col min="12" max="12" width="5.5546875" style="6" bestFit="1" customWidth="1"/>
    <col min="13" max="13" width="4.5546875" style="6" bestFit="1" customWidth="1"/>
    <col min="14" max="14" width="10.77734375" style="6" bestFit="1" customWidth="1"/>
    <col min="15" max="16384" width="8.88671875" style="6"/>
  </cols>
  <sheetData>
    <row r="1" spans="1:14" x14ac:dyDescent="0.3">
      <c r="A1" s="5" t="s">
        <v>555</v>
      </c>
      <c r="B1" s="6" t="s">
        <v>557</v>
      </c>
      <c r="C1" s="6" t="s">
        <v>556</v>
      </c>
      <c r="D1" s="6" t="s">
        <v>548</v>
      </c>
      <c r="E1" s="6" t="s">
        <v>563</v>
      </c>
      <c r="F1" s="6" t="s">
        <v>558</v>
      </c>
      <c r="G1"/>
    </row>
    <row r="2" spans="1:14" x14ac:dyDescent="0.3">
      <c r="A2" s="6" t="s">
        <v>30</v>
      </c>
      <c r="B2" s="7">
        <v>62309.268518518518</v>
      </c>
      <c r="C2" s="7">
        <v>5118.5185185185182</v>
      </c>
      <c r="D2" s="7">
        <v>29.583333333333332</v>
      </c>
      <c r="E2" s="8">
        <v>0.22222222222222221</v>
      </c>
      <c r="F2" s="6">
        <v>108</v>
      </c>
      <c r="G2"/>
    </row>
    <row r="3" spans="1:14" x14ac:dyDescent="0.3">
      <c r="A3" s="6" t="s">
        <v>20</v>
      </c>
      <c r="B3" s="7">
        <v>60966.742753623192</v>
      </c>
      <c r="C3" s="7">
        <v>4942.028985507246</v>
      </c>
      <c r="D3" s="7">
        <v>0</v>
      </c>
      <c r="E3" s="8">
        <v>0.2391304347826087</v>
      </c>
      <c r="F3" s="6">
        <v>276</v>
      </c>
      <c r="G3"/>
    </row>
    <row r="4" spans="1:14" x14ac:dyDescent="0.3">
      <c r="A4" s="6" t="s">
        <v>12</v>
      </c>
      <c r="B4" s="7">
        <v>57796</v>
      </c>
      <c r="C4" s="7">
        <v>4834.4827586206893</v>
      </c>
      <c r="D4" s="7">
        <v>4.6206896551724137</v>
      </c>
      <c r="E4" s="8">
        <v>0.26724137931034481</v>
      </c>
      <c r="F4" s="6">
        <v>116</v>
      </c>
      <c r="G4"/>
    </row>
    <row r="5" spans="1:14" x14ac:dyDescent="0.3">
      <c r="A5" s="6" t="s">
        <v>538</v>
      </c>
      <c r="B5" s="7">
        <v>60521.116000000002</v>
      </c>
      <c r="C5" s="7">
        <v>4955.2</v>
      </c>
      <c r="D5" s="7">
        <v>7.4619999999999997</v>
      </c>
      <c r="E5" s="8">
        <v>0.24199999999999999</v>
      </c>
      <c r="F5" s="6">
        <v>500</v>
      </c>
      <c r="G5"/>
    </row>
    <row r="7" spans="1:14" x14ac:dyDescent="0.3">
      <c r="B7" s="6" t="s">
        <v>561</v>
      </c>
    </row>
    <row r="8" spans="1:14" x14ac:dyDescent="0.3">
      <c r="B8" s="6" t="s">
        <v>540</v>
      </c>
    </row>
    <row r="9" spans="1:14" x14ac:dyDescent="0.3">
      <c r="B9" s="6" t="s">
        <v>541</v>
      </c>
      <c r="J9" s="5" t="s">
        <v>536</v>
      </c>
      <c r="K9" s="5" t="s">
        <v>540</v>
      </c>
    </row>
    <row r="10" spans="1:14" x14ac:dyDescent="0.3">
      <c r="B10" s="6" t="s">
        <v>559</v>
      </c>
      <c r="J10" s="5" t="s">
        <v>551</v>
      </c>
      <c r="K10" s="6">
        <v>1</v>
      </c>
      <c r="L10" s="6">
        <v>2</v>
      </c>
      <c r="M10" s="6">
        <v>3</v>
      </c>
      <c r="N10" s="6" t="s">
        <v>538</v>
      </c>
    </row>
    <row r="11" spans="1:14" x14ac:dyDescent="0.3">
      <c r="B11" s="6" t="s">
        <v>560</v>
      </c>
      <c r="J11" s="6" t="s">
        <v>13</v>
      </c>
      <c r="K11" s="7">
        <v>6.0869565217391308</v>
      </c>
      <c r="L11" s="7">
        <v>4.7272727272727275</v>
      </c>
      <c r="M11" s="7">
        <v>7.9047619047619051</v>
      </c>
      <c r="N11" s="7">
        <v>6</v>
      </c>
    </row>
    <row r="12" spans="1:14" x14ac:dyDescent="0.3">
      <c r="J12" s="6" t="s">
        <v>17</v>
      </c>
      <c r="K12" s="7">
        <v>6.8571428571428568</v>
      </c>
      <c r="L12" s="7">
        <v>10.448275862068966</v>
      </c>
      <c r="M12" s="7">
        <v>5.583333333333333</v>
      </c>
      <c r="N12" s="7">
        <v>7.955223880597015</v>
      </c>
    </row>
    <row r="13" spans="1:14" x14ac:dyDescent="0.3">
      <c r="A13" s="5" t="s">
        <v>540</v>
      </c>
      <c r="B13" s="6" t="s">
        <v>548</v>
      </c>
      <c r="C13" s="6" t="s">
        <v>562</v>
      </c>
      <c r="E13" s="5" t="s">
        <v>541</v>
      </c>
      <c r="F13" s="6" t="s">
        <v>548</v>
      </c>
      <c r="G13" s="6" t="s">
        <v>562</v>
      </c>
      <c r="J13" s="6" t="s">
        <v>21</v>
      </c>
      <c r="K13" s="7">
        <v>9.96875</v>
      </c>
      <c r="L13" s="7">
        <v>8.9014084507042259</v>
      </c>
      <c r="M13" s="7">
        <v>2.1219512195121952</v>
      </c>
      <c r="N13" s="7">
        <v>7.208333333333333</v>
      </c>
    </row>
    <row r="14" spans="1:14" x14ac:dyDescent="0.3">
      <c r="A14" s="6">
        <v>1</v>
      </c>
      <c r="B14" s="7">
        <v>7.6842105263157894</v>
      </c>
      <c r="C14" s="8">
        <v>0.43859649122807015</v>
      </c>
      <c r="E14" s="6" t="s">
        <v>30</v>
      </c>
      <c r="F14" s="7">
        <v>6.0888888888888886</v>
      </c>
      <c r="G14" s="8">
        <v>0.42222222222222222</v>
      </c>
      <c r="J14" s="6" t="s">
        <v>28</v>
      </c>
      <c r="K14" s="7">
        <v>7.258064516129032</v>
      </c>
      <c r="L14" s="7">
        <v>9.5142857142857142</v>
      </c>
      <c r="M14" s="7">
        <v>6.2272727272727275</v>
      </c>
      <c r="N14" s="7">
        <v>8.0344827586206904</v>
      </c>
    </row>
    <row r="15" spans="1:14" x14ac:dyDescent="0.3">
      <c r="A15" s="6">
        <v>2</v>
      </c>
      <c r="B15" s="7">
        <v>8.8793103448275854</v>
      </c>
      <c r="C15" s="8">
        <v>0.48706896551724138</v>
      </c>
      <c r="E15" s="6" t="s">
        <v>12</v>
      </c>
      <c r="F15" s="7">
        <v>7.7979274611398965</v>
      </c>
      <c r="G15" s="8">
        <v>0.50259067357512954</v>
      </c>
      <c r="J15" s="6" t="s">
        <v>538</v>
      </c>
      <c r="K15" s="7">
        <v>7.6842105263157894</v>
      </c>
      <c r="L15" s="7">
        <v>8.8793103448275854</v>
      </c>
      <c r="M15" s="7">
        <v>5.162337662337662</v>
      </c>
      <c r="N15" s="7">
        <v>7.4619999999999997</v>
      </c>
    </row>
    <row r="16" spans="1:14" x14ac:dyDescent="0.3">
      <c r="A16" s="6">
        <v>3</v>
      </c>
      <c r="B16" s="7">
        <v>5.162337662337662</v>
      </c>
      <c r="C16" s="8">
        <v>0.39610389610389612</v>
      </c>
      <c r="E16" s="6" t="s">
        <v>20</v>
      </c>
      <c r="F16" s="7">
        <v>7.4503816793893129</v>
      </c>
      <c r="G16" s="8">
        <v>0.41221374045801529</v>
      </c>
    </row>
    <row r="17" spans="1:7" x14ac:dyDescent="0.3">
      <c r="A17" s="6" t="s">
        <v>538</v>
      </c>
      <c r="B17" s="7">
        <v>7.4619999999999997</v>
      </c>
      <c r="C17" s="8">
        <v>0.44800000000000001</v>
      </c>
      <c r="E17" s="6" t="s">
        <v>538</v>
      </c>
      <c r="F17" s="7">
        <v>7.4619999999999997</v>
      </c>
      <c r="G17" s="8">
        <v>0.44800000000000001</v>
      </c>
    </row>
    <row r="19" spans="1:7" x14ac:dyDescent="0.3">
      <c r="A19" s="5" t="s">
        <v>564</v>
      </c>
      <c r="B19" s="6" t="s">
        <v>548</v>
      </c>
      <c r="C19" s="6" t="s">
        <v>562</v>
      </c>
      <c r="E19" s="5" t="s">
        <v>568</v>
      </c>
      <c r="F19" s="6" t="s">
        <v>548</v>
      </c>
      <c r="G19" s="6" t="s">
        <v>562</v>
      </c>
    </row>
    <row r="20" spans="1:7" x14ac:dyDescent="0.3">
      <c r="A20" s="6" t="s">
        <v>22</v>
      </c>
      <c r="B20" s="7">
        <v>7.7493403693931402</v>
      </c>
      <c r="C20" s="8">
        <v>0.44591029023746703</v>
      </c>
      <c r="E20" s="6" t="s">
        <v>571</v>
      </c>
      <c r="F20" s="7">
        <v>9.56</v>
      </c>
      <c r="G20" s="8">
        <v>0.47199999999999998</v>
      </c>
    </row>
    <row r="21" spans="1:7" x14ac:dyDescent="0.3">
      <c r="A21" s="6" t="s">
        <v>14</v>
      </c>
      <c r="B21" s="7">
        <v>6.5619834710743801</v>
      </c>
      <c r="C21" s="8">
        <v>0.45454545454545453</v>
      </c>
      <c r="E21" s="6" t="s">
        <v>572</v>
      </c>
      <c r="F21" s="7">
        <v>7.64</v>
      </c>
      <c r="G21" s="8">
        <v>0.44800000000000001</v>
      </c>
    </row>
    <row r="22" spans="1:7" x14ac:dyDescent="0.3">
      <c r="A22" s="6" t="s">
        <v>538</v>
      </c>
      <c r="B22" s="7">
        <v>7.4619999999999997</v>
      </c>
      <c r="C22" s="8">
        <v>0.44800000000000001</v>
      </c>
      <c r="E22" s="6" t="s">
        <v>570</v>
      </c>
      <c r="F22" s="7">
        <v>5.8959999999999999</v>
      </c>
      <c r="G22" s="8">
        <v>0.44</v>
      </c>
    </row>
    <row r="23" spans="1:7" x14ac:dyDescent="0.3">
      <c r="E23" s="6" t="s">
        <v>573</v>
      </c>
      <c r="F23" s="7">
        <v>6.7519999999999998</v>
      </c>
      <c r="G23" s="8">
        <v>0.432</v>
      </c>
    </row>
    <row r="24" spans="1:7" x14ac:dyDescent="0.3">
      <c r="E24" s="6" t="s">
        <v>538</v>
      </c>
      <c r="F24" s="7">
        <v>7.4619999999999997</v>
      </c>
      <c r="G24" s="8">
        <v>0.44800000000000001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F74D9-230E-439F-8884-9C2F3C007228}">
  <dimension ref="A1:BD31"/>
  <sheetViews>
    <sheetView zoomScale="104" zoomScaleNormal="90" workbookViewId="0">
      <selection activeCell="E14" sqref="E14:R27"/>
    </sheetView>
  </sheetViews>
  <sheetFormatPr defaultRowHeight="14.4" x14ac:dyDescent="0.3"/>
  <cols>
    <col min="1" max="1" width="28" style="6" customWidth="1"/>
    <col min="2" max="2" width="18.5546875" style="6" customWidth="1"/>
    <col min="3" max="4" width="8.88671875" style="6"/>
    <col min="5" max="5" width="24.6640625" style="6" bestFit="1" customWidth="1"/>
    <col min="6" max="6" width="15.5546875" style="6" bestFit="1" customWidth="1"/>
    <col min="7" max="7" width="8.33203125" style="6" bestFit="1" customWidth="1"/>
    <col min="8" max="9" width="7.21875" style="6" bestFit="1" customWidth="1"/>
    <col min="10" max="10" width="8.33203125" style="6" bestFit="1" customWidth="1"/>
    <col min="11" max="11" width="8.109375" style="6" bestFit="1" customWidth="1"/>
    <col min="12" max="13" width="7.21875" style="6" bestFit="1" customWidth="1"/>
    <col min="14" max="15" width="8.33203125" style="6" bestFit="1" customWidth="1"/>
    <col min="16" max="17" width="7.21875" style="6" bestFit="1" customWidth="1"/>
    <col min="18" max="18" width="10.77734375" style="6" bestFit="1" customWidth="1"/>
    <col min="19" max="19" width="12.77734375" style="6" bestFit="1" customWidth="1"/>
    <col min="20" max="20" width="9.6640625" style="6" bestFit="1" customWidth="1"/>
    <col min="21" max="21" width="19.88671875" style="6" bestFit="1" customWidth="1"/>
    <col min="22" max="22" width="13.44140625" style="6" bestFit="1" customWidth="1"/>
    <col min="23" max="23" width="12.33203125" style="6" bestFit="1" customWidth="1"/>
    <col min="24" max="24" width="12.5546875" style="6" bestFit="1" customWidth="1"/>
    <col min="25" max="25" width="13.6640625" style="6" bestFit="1" customWidth="1"/>
    <col min="26" max="26" width="19.88671875" style="6" bestFit="1" customWidth="1"/>
    <col min="27" max="27" width="13.44140625" style="6" bestFit="1" customWidth="1"/>
    <col min="28" max="28" width="12.33203125" style="6" bestFit="1" customWidth="1"/>
    <col min="29" max="29" width="12.5546875" style="6" bestFit="1" customWidth="1"/>
    <col min="30" max="30" width="17.6640625" style="6" bestFit="1" customWidth="1"/>
    <col min="31" max="31" width="19.88671875" style="6" bestFit="1" customWidth="1"/>
    <col min="32" max="32" width="13.44140625" style="6" bestFit="1" customWidth="1"/>
    <col min="33" max="33" width="12.33203125" style="6" bestFit="1" customWidth="1"/>
    <col min="34" max="34" width="12.5546875" style="6" bestFit="1" customWidth="1"/>
    <col min="35" max="35" width="12.77734375" style="6" bestFit="1" customWidth="1"/>
    <col min="36" max="36" width="9.5546875" style="6" bestFit="1" customWidth="1"/>
    <col min="37" max="37" width="19.88671875" style="6" bestFit="1" customWidth="1"/>
    <col min="38" max="38" width="13.44140625" style="6" bestFit="1" customWidth="1"/>
    <col min="39" max="39" width="12.33203125" style="6" bestFit="1" customWidth="1"/>
    <col min="40" max="40" width="12.5546875" style="6" bestFit="1" customWidth="1"/>
    <col min="41" max="41" width="13.6640625" style="6" bestFit="1" customWidth="1"/>
    <col min="42" max="42" width="19.88671875" style="6" bestFit="1" customWidth="1"/>
    <col min="43" max="43" width="13.44140625" style="6" bestFit="1" customWidth="1"/>
    <col min="44" max="44" width="12.33203125" style="6" bestFit="1" customWidth="1"/>
    <col min="45" max="45" width="12.5546875" style="6" bestFit="1" customWidth="1"/>
    <col min="46" max="46" width="17.6640625" style="6" bestFit="1" customWidth="1"/>
    <col min="47" max="47" width="19.88671875" style="6" bestFit="1" customWidth="1"/>
    <col min="48" max="48" width="13.44140625" style="6" bestFit="1" customWidth="1"/>
    <col min="49" max="49" width="12.33203125" style="6" bestFit="1" customWidth="1"/>
    <col min="50" max="50" width="12.5546875" style="6" bestFit="1" customWidth="1"/>
    <col min="51" max="51" width="12.77734375" style="6" bestFit="1" customWidth="1"/>
    <col min="52" max="52" width="9.5546875" style="6" bestFit="1" customWidth="1"/>
    <col min="53" max="53" width="15.5546875" style="6" bestFit="1" customWidth="1"/>
    <col min="54" max="54" width="18.5546875" style="6" bestFit="1" customWidth="1"/>
    <col min="55" max="55" width="6.6640625" style="6" bestFit="1" customWidth="1"/>
    <col min="56" max="56" width="10.77734375" style="6" bestFit="1" customWidth="1"/>
    <col min="57" max="16384" width="8.88671875" style="6"/>
  </cols>
  <sheetData>
    <row r="1" spans="1:56" ht="15.6" x14ac:dyDescent="0.3">
      <c r="A1" s="21" t="s">
        <v>574</v>
      </c>
      <c r="B1" s="21"/>
      <c r="E1" s="21" t="s">
        <v>580</v>
      </c>
      <c r="F1" s="21"/>
      <c r="G1" s="21"/>
    </row>
    <row r="3" spans="1:56" ht="15.6" x14ac:dyDescent="0.3">
      <c r="A3" s="14" t="s">
        <v>575</v>
      </c>
      <c r="B3" s="14" t="s">
        <v>576</v>
      </c>
      <c r="E3" s="12" t="s">
        <v>581</v>
      </c>
      <c r="F3" s="12" t="s">
        <v>582</v>
      </c>
      <c r="G3" s="20" t="s">
        <v>583</v>
      </c>
      <c r="H3" s="20"/>
      <c r="I3" s="20"/>
      <c r="J3" s="20"/>
      <c r="K3" s="20"/>
      <c r="L3" s="20"/>
      <c r="M3" s="20"/>
      <c r="N3" s="20"/>
    </row>
    <row r="4" spans="1:56" x14ac:dyDescent="0.3">
      <c r="A4" s="6" t="s">
        <v>533</v>
      </c>
      <c r="B4" s="6">
        <f>COUNTA(WeRize_Product_Analyst_Assignment_Data[customer_id])</f>
        <v>500</v>
      </c>
      <c r="E4" s="6" t="s">
        <v>540</v>
      </c>
      <c r="F4" s="6" t="s">
        <v>586</v>
      </c>
      <c r="G4" s="19" t="s">
        <v>593</v>
      </c>
      <c r="H4" s="19"/>
      <c r="I4" s="19"/>
      <c r="J4" s="19"/>
      <c r="K4" s="19"/>
      <c r="L4" s="19"/>
      <c r="M4" s="19"/>
      <c r="N4" s="19"/>
    </row>
    <row r="5" spans="1:56" x14ac:dyDescent="0.3">
      <c r="A5" s="6" t="s">
        <v>534</v>
      </c>
      <c r="B5" s="6">
        <f>AVERAGE(WeRize_Product_Analyst_Assignment_Data[loan_amount])</f>
        <v>60521.116000000002</v>
      </c>
      <c r="E5" s="6" t="s">
        <v>584</v>
      </c>
      <c r="F5" s="1" t="s">
        <v>587</v>
      </c>
      <c r="G5" s="19" t="s">
        <v>590</v>
      </c>
      <c r="H5" s="19"/>
      <c r="I5" s="19"/>
      <c r="J5" s="19"/>
      <c r="K5" s="19"/>
      <c r="L5" s="19"/>
      <c r="M5" s="19"/>
      <c r="N5" s="19"/>
    </row>
    <row r="6" spans="1:56" x14ac:dyDescent="0.3">
      <c r="A6" s="6" t="s">
        <v>535</v>
      </c>
      <c r="B6" s="6">
        <f>AVERAGE(WeRize_Product_Analyst_Assignment_Data[emi_amount])</f>
        <v>4955.2</v>
      </c>
      <c r="E6" s="6" t="s">
        <v>585</v>
      </c>
      <c r="F6" s="1" t="s">
        <v>588</v>
      </c>
      <c r="G6" s="19" t="s">
        <v>591</v>
      </c>
      <c r="H6" s="19"/>
      <c r="I6" s="19"/>
      <c r="J6" s="19"/>
      <c r="K6" s="19"/>
      <c r="L6" s="19"/>
      <c r="M6" s="19"/>
      <c r="N6" s="19"/>
    </row>
    <row r="7" spans="1:56" x14ac:dyDescent="0.3">
      <c r="A7" s="6" t="s">
        <v>536</v>
      </c>
      <c r="B7" s="7">
        <f>AVERAGE(WeRize_Product_Analyst_Assignment_Data[days_past_due])</f>
        <v>7.4619999999999997</v>
      </c>
      <c r="E7" s="6" t="s">
        <v>568</v>
      </c>
      <c r="F7" s="6" t="s">
        <v>589</v>
      </c>
      <c r="G7" s="19" t="s">
        <v>592</v>
      </c>
      <c r="H7" s="19"/>
      <c r="I7" s="19"/>
      <c r="J7" s="19"/>
      <c r="K7" s="19"/>
      <c r="L7" s="19"/>
      <c r="M7" s="19"/>
      <c r="N7" s="19"/>
    </row>
    <row r="8" spans="1:56" x14ac:dyDescent="0.3">
      <c r="A8" s="6" t="s">
        <v>537</v>
      </c>
      <c r="B8" s="8">
        <f>AVERAGE(WeRize_Assignme!L2:L501)</f>
        <v>0.44800000000000001</v>
      </c>
    </row>
    <row r="9" spans="1:56" x14ac:dyDescent="0.3">
      <c r="A9" s="6" t="s">
        <v>577</v>
      </c>
      <c r="B9" s="8">
        <f>COUNTIF(WeRize_Assignme!N2:N501,"High")/COUNTA(WeRize_Product_Analyst_Assignment_Data[customer_id])</f>
        <v>0.216</v>
      </c>
    </row>
    <row r="10" spans="1:56" x14ac:dyDescent="0.3">
      <c r="A10" s="6" t="s">
        <v>578</v>
      </c>
      <c r="B10" s="6" t="s">
        <v>17</v>
      </c>
    </row>
    <row r="11" spans="1:56" x14ac:dyDescent="0.3">
      <c r="A11" s="6" t="s">
        <v>579</v>
      </c>
      <c r="B11" s="6" t="s">
        <v>21</v>
      </c>
    </row>
    <row r="14" spans="1:56" x14ac:dyDescent="0.3"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</row>
    <row r="15" spans="1:56" x14ac:dyDescent="0.3"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</row>
    <row r="16" spans="1:56" x14ac:dyDescent="0.3"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</row>
    <row r="17" spans="5:56" x14ac:dyDescent="0.3"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</row>
    <row r="18" spans="5:56" x14ac:dyDescent="0.3"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</row>
    <row r="19" spans="5:56" x14ac:dyDescent="0.3"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</row>
    <row r="20" spans="5:56" x14ac:dyDescent="0.3"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</row>
    <row r="21" spans="5:56" x14ac:dyDescent="0.3"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</row>
    <row r="22" spans="5:56" x14ac:dyDescent="0.3"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</row>
    <row r="23" spans="5:56" x14ac:dyDescent="0.3"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</row>
    <row r="24" spans="5:56" x14ac:dyDescent="0.3"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</row>
    <row r="25" spans="5:56" x14ac:dyDescent="0.3"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</row>
    <row r="26" spans="5:56" x14ac:dyDescent="0.3"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</row>
    <row r="27" spans="5:56" x14ac:dyDescent="0.3"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</row>
    <row r="28" spans="5:56" x14ac:dyDescent="0.3"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</row>
    <row r="29" spans="5:56" x14ac:dyDescent="0.3">
      <c r="E29"/>
      <c r="F29"/>
      <c r="G29"/>
    </row>
    <row r="30" spans="5:56" x14ac:dyDescent="0.3">
      <c r="E30"/>
      <c r="F30"/>
      <c r="G30"/>
    </row>
    <row r="31" spans="5:56" x14ac:dyDescent="0.3">
      <c r="E31"/>
      <c r="F31"/>
      <c r="G31"/>
    </row>
  </sheetData>
  <mergeCells count="7">
    <mergeCell ref="G7:N7"/>
    <mergeCell ref="G3:N3"/>
    <mergeCell ref="A1:B1"/>
    <mergeCell ref="E1:G1"/>
    <mergeCell ref="G4:N4"/>
    <mergeCell ref="G5:N5"/>
    <mergeCell ref="G6:N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D20DB-1AC7-43E6-9467-A007A3DDDECE}">
  <dimension ref="A1:M30"/>
  <sheetViews>
    <sheetView workbookViewId="0">
      <selection activeCell="M13" sqref="M13"/>
    </sheetView>
  </sheetViews>
  <sheetFormatPr defaultRowHeight="14.4" x14ac:dyDescent="0.3"/>
  <cols>
    <col min="1" max="1" width="24.44140625" bestFit="1" customWidth="1"/>
    <col min="2" max="2" width="12" bestFit="1" customWidth="1"/>
    <col min="3" max="3" width="15" bestFit="1" customWidth="1"/>
    <col min="4" max="4" width="11.21875" bestFit="1" customWidth="1"/>
    <col min="5" max="6" width="10.77734375" bestFit="1" customWidth="1"/>
    <col min="9" max="9" width="24.44140625" bestFit="1" customWidth="1"/>
    <col min="10" max="10" width="10" bestFit="1" customWidth="1"/>
    <col min="11" max="12" width="7" bestFit="1" customWidth="1"/>
    <col min="13" max="13" width="10.77734375" bestFit="1" customWidth="1"/>
  </cols>
  <sheetData>
    <row r="1" spans="1:10" x14ac:dyDescent="0.3">
      <c r="A1" s="15" t="s">
        <v>599</v>
      </c>
      <c r="B1" s="15" t="s">
        <v>603</v>
      </c>
      <c r="I1" s="15" t="s">
        <v>595</v>
      </c>
      <c r="J1" t="s">
        <v>539</v>
      </c>
    </row>
    <row r="2" spans="1:10" x14ac:dyDescent="0.3">
      <c r="A2" s="15" t="s">
        <v>595</v>
      </c>
      <c r="B2" t="s">
        <v>600</v>
      </c>
      <c r="C2" t="s">
        <v>601</v>
      </c>
      <c r="D2" t="s">
        <v>602</v>
      </c>
      <c r="E2" t="s">
        <v>538</v>
      </c>
      <c r="I2" s="16" t="s">
        <v>56</v>
      </c>
      <c r="J2" s="18">
        <v>6.7659574468085104</v>
      </c>
    </row>
    <row r="3" spans="1:10" x14ac:dyDescent="0.3">
      <c r="A3" s="16" t="s">
        <v>56</v>
      </c>
      <c r="B3" s="17">
        <v>0.5</v>
      </c>
      <c r="C3" s="17">
        <v>0.5625</v>
      </c>
      <c r="D3" s="17">
        <v>0.52</v>
      </c>
      <c r="E3" s="17">
        <v>0.53191489361702127</v>
      </c>
      <c r="I3" s="16" t="s">
        <v>18</v>
      </c>
      <c r="J3" s="18">
        <v>4.1842105263157894</v>
      </c>
    </row>
    <row r="4" spans="1:10" x14ac:dyDescent="0.3">
      <c r="A4" s="16" t="s">
        <v>18</v>
      </c>
      <c r="B4" s="17">
        <v>0</v>
      </c>
      <c r="C4" s="17">
        <v>0.4</v>
      </c>
      <c r="D4" s="17">
        <v>0.45</v>
      </c>
      <c r="E4" s="17">
        <v>0.39473684210526316</v>
      </c>
      <c r="I4" s="16" t="s">
        <v>32</v>
      </c>
      <c r="J4" s="18">
        <v>4.5102040816326534</v>
      </c>
    </row>
    <row r="5" spans="1:10" x14ac:dyDescent="0.3">
      <c r="A5" s="16" t="s">
        <v>32</v>
      </c>
      <c r="B5" s="17">
        <v>0.4</v>
      </c>
      <c r="C5" s="17">
        <v>0.59090909090909094</v>
      </c>
      <c r="D5" s="17">
        <v>0.18181818181818182</v>
      </c>
      <c r="E5" s="17">
        <v>0.38775510204081631</v>
      </c>
      <c r="I5" s="16" t="s">
        <v>15</v>
      </c>
      <c r="J5" s="18">
        <v>7.9454545454545453</v>
      </c>
    </row>
    <row r="6" spans="1:10" x14ac:dyDescent="0.3">
      <c r="A6" s="16" t="s">
        <v>15</v>
      </c>
      <c r="B6" s="17">
        <v>0</v>
      </c>
      <c r="C6" s="17">
        <v>0.54166666666666663</v>
      </c>
      <c r="D6" s="17">
        <v>0.44</v>
      </c>
      <c r="E6" s="17">
        <v>0.43636363636363634</v>
      </c>
      <c r="I6" s="16" t="s">
        <v>34</v>
      </c>
      <c r="J6" s="18">
        <v>5.6166666666666663</v>
      </c>
    </row>
    <row r="7" spans="1:10" x14ac:dyDescent="0.3">
      <c r="A7" s="16" t="s">
        <v>34</v>
      </c>
      <c r="B7" s="17">
        <v>0.66666666666666663</v>
      </c>
      <c r="C7" s="17">
        <v>0.33333333333333331</v>
      </c>
      <c r="D7" s="17">
        <v>0.30303030303030304</v>
      </c>
      <c r="E7" s="17">
        <v>0.35</v>
      </c>
      <c r="I7" s="16" t="s">
        <v>26</v>
      </c>
      <c r="J7" s="18">
        <v>8.3541666666666661</v>
      </c>
    </row>
    <row r="8" spans="1:10" x14ac:dyDescent="0.3">
      <c r="A8" s="16" t="s">
        <v>26</v>
      </c>
      <c r="B8" s="17">
        <v>0.5</v>
      </c>
      <c r="C8" s="17">
        <v>0.33333333333333331</v>
      </c>
      <c r="D8" s="17">
        <v>0.34615384615384615</v>
      </c>
      <c r="E8" s="17">
        <v>0.35416666666666669</v>
      </c>
      <c r="I8" s="16" t="s">
        <v>70</v>
      </c>
      <c r="J8" s="18">
        <v>15.895833333333334</v>
      </c>
    </row>
    <row r="9" spans="1:10" x14ac:dyDescent="0.3">
      <c r="A9" s="16" t="s">
        <v>70</v>
      </c>
      <c r="B9" s="17">
        <v>0.75</v>
      </c>
      <c r="C9" s="17">
        <v>0.6875</v>
      </c>
      <c r="D9" s="17">
        <v>0.6071428571428571</v>
      </c>
      <c r="E9" s="17">
        <v>0.64583333333333337</v>
      </c>
      <c r="I9" s="16" t="s">
        <v>54</v>
      </c>
      <c r="J9" s="18">
        <v>7.4468085106382977</v>
      </c>
    </row>
    <row r="10" spans="1:10" x14ac:dyDescent="0.3">
      <c r="A10" s="16" t="s">
        <v>54</v>
      </c>
      <c r="B10" s="17">
        <v>0.4</v>
      </c>
      <c r="C10" s="17">
        <v>0.5</v>
      </c>
      <c r="D10" s="17">
        <v>0.375</v>
      </c>
      <c r="E10" s="17">
        <v>0.42553191489361702</v>
      </c>
      <c r="I10" s="16" t="s">
        <v>44</v>
      </c>
      <c r="J10" s="18">
        <v>5.1785714285714288</v>
      </c>
    </row>
    <row r="11" spans="1:10" x14ac:dyDescent="0.3">
      <c r="A11" s="16" t="s">
        <v>44</v>
      </c>
      <c r="B11" s="17">
        <v>0.66666666666666663</v>
      </c>
      <c r="C11" s="17">
        <v>0.55000000000000004</v>
      </c>
      <c r="D11" s="17">
        <v>0.33333333333333331</v>
      </c>
      <c r="E11" s="17">
        <v>0.42857142857142855</v>
      </c>
      <c r="I11" s="16" t="s">
        <v>23</v>
      </c>
      <c r="J11" s="18">
        <v>8.75</v>
      </c>
    </row>
    <row r="12" spans="1:10" x14ac:dyDescent="0.3">
      <c r="A12" s="16" t="s">
        <v>23</v>
      </c>
      <c r="B12" s="17">
        <v>0.33333333333333331</v>
      </c>
      <c r="C12" s="17">
        <v>0.52173913043478259</v>
      </c>
      <c r="D12" s="17">
        <v>0.57692307692307687</v>
      </c>
      <c r="E12" s="17">
        <v>0.53846153846153844</v>
      </c>
      <c r="I12" s="16" t="s">
        <v>538</v>
      </c>
      <c r="J12" s="18">
        <v>7.4619999999999997</v>
      </c>
    </row>
    <row r="13" spans="1:10" x14ac:dyDescent="0.3">
      <c r="A13" s="16" t="s">
        <v>538</v>
      </c>
      <c r="B13" s="17">
        <v>0.42222222222222222</v>
      </c>
      <c r="C13" s="17">
        <v>0.50259067357512954</v>
      </c>
      <c r="D13" s="17">
        <v>0.41221374045801529</v>
      </c>
      <c r="E13" s="17">
        <v>0.44800000000000001</v>
      </c>
    </row>
    <row r="18" spans="1:13" x14ac:dyDescent="0.3">
      <c r="A18" s="15" t="s">
        <v>599</v>
      </c>
      <c r="B18" s="15" t="s">
        <v>568</v>
      </c>
      <c r="I18" s="15" t="s">
        <v>604</v>
      </c>
      <c r="J18" s="15" t="s">
        <v>540</v>
      </c>
    </row>
    <row r="19" spans="1:13" x14ac:dyDescent="0.3">
      <c r="A19" s="15" t="s">
        <v>595</v>
      </c>
      <c r="B19" t="s">
        <v>573</v>
      </c>
      <c r="C19" t="s">
        <v>570</v>
      </c>
      <c r="D19" t="s">
        <v>572</v>
      </c>
      <c r="E19" t="s">
        <v>571</v>
      </c>
      <c r="F19" t="s">
        <v>538</v>
      </c>
      <c r="I19" s="15" t="s">
        <v>595</v>
      </c>
      <c r="J19">
        <v>1</v>
      </c>
      <c r="K19">
        <v>2</v>
      </c>
      <c r="L19">
        <v>3</v>
      </c>
      <c r="M19" t="s">
        <v>538</v>
      </c>
    </row>
    <row r="20" spans="1:13" x14ac:dyDescent="0.3">
      <c r="A20" s="16" t="s">
        <v>56</v>
      </c>
      <c r="B20" s="17">
        <v>0.6470588235294118</v>
      </c>
      <c r="C20" s="17">
        <v>0.4</v>
      </c>
      <c r="D20" s="17">
        <v>0.75</v>
      </c>
      <c r="E20" s="17">
        <v>0.2857142857142857</v>
      </c>
      <c r="F20" s="17">
        <v>0.53191489361702127</v>
      </c>
      <c r="I20" s="16" t="s">
        <v>56</v>
      </c>
      <c r="J20" s="17">
        <v>0.6428571428571429</v>
      </c>
      <c r="K20" s="17">
        <v>0.47619047619047616</v>
      </c>
      <c r="L20" s="17">
        <v>0.5</v>
      </c>
      <c r="M20" s="17">
        <v>0.53191489361702127</v>
      </c>
    </row>
    <row r="21" spans="1:13" x14ac:dyDescent="0.3">
      <c r="A21" s="16" t="s">
        <v>18</v>
      </c>
      <c r="B21" s="17">
        <v>0.69230769230769229</v>
      </c>
      <c r="C21" s="17">
        <v>0.42857142857142855</v>
      </c>
      <c r="D21" s="17">
        <v>0</v>
      </c>
      <c r="E21" s="17">
        <v>0.23076923076923078</v>
      </c>
      <c r="F21" s="17">
        <v>0.39473684210526316</v>
      </c>
      <c r="I21" s="16" t="s">
        <v>18</v>
      </c>
      <c r="J21" s="17">
        <v>0.33333333333333331</v>
      </c>
      <c r="K21" s="17">
        <v>0.36363636363636365</v>
      </c>
      <c r="L21" s="17">
        <v>0.5714285714285714</v>
      </c>
      <c r="M21" s="17">
        <v>0.39473684210526316</v>
      </c>
    </row>
    <row r="22" spans="1:13" x14ac:dyDescent="0.3">
      <c r="A22" s="16" t="s">
        <v>32</v>
      </c>
      <c r="B22" s="17">
        <v>9.0909090909090912E-2</v>
      </c>
      <c r="C22" s="17">
        <v>0.5</v>
      </c>
      <c r="D22" s="17">
        <v>0.5</v>
      </c>
      <c r="E22" s="17">
        <v>0.375</v>
      </c>
      <c r="F22" s="17">
        <v>0.38775510204081631</v>
      </c>
      <c r="I22" s="16" t="s">
        <v>32</v>
      </c>
      <c r="J22" s="17">
        <v>0.38461538461538464</v>
      </c>
      <c r="K22" s="17">
        <v>0.42857142857142855</v>
      </c>
      <c r="L22" s="17">
        <v>0.33333333333333331</v>
      </c>
      <c r="M22" s="17">
        <v>0.38775510204081631</v>
      </c>
    </row>
    <row r="23" spans="1:13" x14ac:dyDescent="0.3">
      <c r="A23" s="16" t="s">
        <v>15</v>
      </c>
      <c r="B23" s="17">
        <v>0.2</v>
      </c>
      <c r="C23" s="17">
        <v>0.66666666666666663</v>
      </c>
      <c r="D23" s="17">
        <v>0.46666666666666667</v>
      </c>
      <c r="E23" s="17">
        <v>0.4</v>
      </c>
      <c r="F23" s="17">
        <v>0.43636363636363634</v>
      </c>
      <c r="I23" s="16" t="s">
        <v>15</v>
      </c>
      <c r="J23" s="17">
        <v>0.36363636363636365</v>
      </c>
      <c r="K23" s="17">
        <v>0.43478260869565216</v>
      </c>
      <c r="L23" s="17">
        <v>0.47619047619047616</v>
      </c>
      <c r="M23" s="17">
        <v>0.43636363636363634</v>
      </c>
    </row>
    <row r="24" spans="1:13" x14ac:dyDescent="0.3">
      <c r="A24" s="16" t="s">
        <v>34</v>
      </c>
      <c r="B24" s="17">
        <v>0.41666666666666669</v>
      </c>
      <c r="C24" s="17">
        <v>0.25</v>
      </c>
      <c r="D24" s="17">
        <v>0.47058823529411764</v>
      </c>
      <c r="E24" s="17">
        <v>0.26315789473684209</v>
      </c>
      <c r="F24" s="17">
        <v>0.35</v>
      </c>
      <c r="I24" s="16" t="s">
        <v>34</v>
      </c>
      <c r="J24" s="17">
        <v>0.41666666666666669</v>
      </c>
      <c r="K24" s="17">
        <v>0.34375</v>
      </c>
      <c r="L24" s="17">
        <v>0.3125</v>
      </c>
      <c r="M24" s="17">
        <v>0.35</v>
      </c>
    </row>
    <row r="25" spans="1:13" x14ac:dyDescent="0.3">
      <c r="A25" s="16" t="s">
        <v>26</v>
      </c>
      <c r="B25" s="17">
        <v>0.42857142857142855</v>
      </c>
      <c r="C25" s="17">
        <v>0.18181818181818182</v>
      </c>
      <c r="D25" s="17">
        <v>0.23529411764705882</v>
      </c>
      <c r="E25" s="17">
        <v>0.61538461538461542</v>
      </c>
      <c r="F25" s="17">
        <v>0.35416666666666669</v>
      </c>
      <c r="I25" s="16" t="s">
        <v>26</v>
      </c>
      <c r="J25" s="17">
        <v>0.3125</v>
      </c>
      <c r="K25" s="17">
        <v>0.5</v>
      </c>
      <c r="L25" s="17">
        <v>0.21428571428571427</v>
      </c>
      <c r="M25" s="17">
        <v>0.35416666666666669</v>
      </c>
    </row>
    <row r="26" spans="1:13" x14ac:dyDescent="0.3">
      <c r="A26" s="16" t="s">
        <v>70</v>
      </c>
      <c r="B26" s="17">
        <v>0.6</v>
      </c>
      <c r="C26" s="17">
        <v>0.8</v>
      </c>
      <c r="D26" s="17">
        <v>0.5</v>
      </c>
      <c r="E26" s="17">
        <v>0.66666666666666663</v>
      </c>
      <c r="F26" s="17">
        <v>0.64583333333333337</v>
      </c>
      <c r="I26" s="16" t="s">
        <v>70</v>
      </c>
      <c r="J26" s="17">
        <v>0.54545454545454541</v>
      </c>
      <c r="K26" s="17">
        <v>0.82608695652173914</v>
      </c>
      <c r="L26" s="17">
        <v>0.42857142857142855</v>
      </c>
      <c r="M26" s="17">
        <v>0.64583333333333337</v>
      </c>
    </row>
    <row r="27" spans="1:13" x14ac:dyDescent="0.3">
      <c r="A27" s="16" t="s">
        <v>54</v>
      </c>
      <c r="B27" s="17">
        <v>0.30769230769230771</v>
      </c>
      <c r="C27" s="17">
        <v>0.38461538461538464</v>
      </c>
      <c r="D27" s="17">
        <v>0.5</v>
      </c>
      <c r="E27" s="17">
        <v>0.53846153846153844</v>
      </c>
      <c r="F27" s="17">
        <v>0.42553191489361702</v>
      </c>
      <c r="I27" s="16" t="s">
        <v>54</v>
      </c>
      <c r="J27" s="17">
        <v>0.4</v>
      </c>
      <c r="K27" s="17">
        <v>0.45833333333333331</v>
      </c>
      <c r="L27" s="17">
        <v>0.38461538461538464</v>
      </c>
      <c r="M27" s="17">
        <v>0.42553191489361702</v>
      </c>
    </row>
    <row r="28" spans="1:13" x14ac:dyDescent="0.3">
      <c r="A28" s="16" t="s">
        <v>44</v>
      </c>
      <c r="B28" s="17">
        <v>0.38461538461538464</v>
      </c>
      <c r="C28" s="17">
        <v>0.35714285714285715</v>
      </c>
      <c r="D28" s="17">
        <v>0.38461538461538464</v>
      </c>
      <c r="E28" s="17">
        <v>0.5625</v>
      </c>
      <c r="F28" s="17">
        <v>0.42857142857142855</v>
      </c>
      <c r="I28" s="16" t="s">
        <v>44</v>
      </c>
      <c r="J28" s="17">
        <v>0.55555555555555558</v>
      </c>
      <c r="K28" s="17">
        <v>0.48148148148148145</v>
      </c>
      <c r="L28" s="17">
        <v>0.3</v>
      </c>
      <c r="M28" s="17">
        <v>0.42857142857142855</v>
      </c>
    </row>
    <row r="29" spans="1:13" x14ac:dyDescent="0.3">
      <c r="A29" s="16" t="s">
        <v>23</v>
      </c>
      <c r="B29" s="17">
        <v>0.5</v>
      </c>
      <c r="C29" s="17">
        <v>0.44444444444444442</v>
      </c>
      <c r="D29" s="17">
        <v>0.58333333333333337</v>
      </c>
      <c r="E29" s="17">
        <v>0.75</v>
      </c>
      <c r="F29" s="17">
        <v>0.53846153846153844</v>
      </c>
      <c r="I29" s="16" t="s">
        <v>23</v>
      </c>
      <c r="J29" s="17">
        <v>0.44444444444444442</v>
      </c>
      <c r="K29" s="17">
        <v>0.61904761904761907</v>
      </c>
      <c r="L29" s="17">
        <v>0.5</v>
      </c>
      <c r="M29" s="17">
        <v>0.53846153846153844</v>
      </c>
    </row>
    <row r="30" spans="1:13" x14ac:dyDescent="0.3">
      <c r="A30" s="16" t="s">
        <v>538</v>
      </c>
      <c r="B30" s="17">
        <v>0.432</v>
      </c>
      <c r="C30" s="17">
        <v>0.44</v>
      </c>
      <c r="D30" s="17">
        <v>0.44800000000000001</v>
      </c>
      <c r="E30" s="17">
        <v>0.47199999999999998</v>
      </c>
      <c r="F30" s="17">
        <v>0.44800000000000001</v>
      </c>
      <c r="I30" s="16" t="s">
        <v>538</v>
      </c>
      <c r="J30" s="17">
        <v>0.43859649122807015</v>
      </c>
      <c r="K30" s="17">
        <v>0.48706896551724138</v>
      </c>
      <c r="L30" s="17">
        <v>0.39610389610389612</v>
      </c>
      <c r="M30" s="17">
        <v>0.44800000000000001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382F38F-2711-47B1-9FCE-80675F1130E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WeRize_Assignme</vt:lpstr>
      <vt:lpstr>partA</vt:lpstr>
      <vt:lpstr>partB</vt:lpstr>
      <vt:lpstr>partC</vt:lpstr>
      <vt:lpstr>partD + summary</vt:lpstr>
      <vt:lpstr>response_text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LAKSHYA RAJ SINGH</dc:creator>
  <cp:lastModifiedBy>LAKSHYA RAJ SINGH</cp:lastModifiedBy>
  <dcterms:created xsi:type="dcterms:W3CDTF">2025-11-06T12:27:18Z</dcterms:created>
  <dcterms:modified xsi:type="dcterms:W3CDTF">2025-12-03T06:08:13Z</dcterms:modified>
</cp:coreProperties>
</file>